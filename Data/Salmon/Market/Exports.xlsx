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llipaskildsen/Documents/GitHub/Data/Salmon/Market/"/>
    </mc:Choice>
  </mc:AlternateContent>
  <xr:revisionPtr revIDLastSave="0" documentId="13_ncr:1_{3E58DB1D-616B-F64A-AD47-C4B6A774FA1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8" i="1"/>
  <c r="N150" i="1"/>
  <c r="N152" i="1"/>
  <c r="N154" i="1"/>
  <c r="N156" i="1"/>
  <c r="N158" i="1"/>
  <c r="N160" i="1"/>
  <c r="N162" i="1"/>
  <c r="N164" i="1"/>
  <c r="N166" i="1"/>
  <c r="N168" i="1"/>
  <c r="N147" i="1"/>
  <c r="N149" i="1"/>
  <c r="N151" i="1"/>
  <c r="N153" i="1"/>
  <c r="N155" i="1"/>
  <c r="N157" i="1"/>
  <c r="N159" i="1"/>
  <c r="N161" i="1"/>
  <c r="N163" i="1"/>
  <c r="N165" i="1"/>
  <c r="N167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3" i="1"/>
  <c r="N4" i="1"/>
  <c r="N2" i="1"/>
</calcChain>
</file>

<file path=xl/sharedStrings.xml><?xml version="1.0" encoding="utf-8"?>
<sst xmlns="http://schemas.openxmlformats.org/spreadsheetml/2006/main" count="2378" uniqueCount="26">
  <si>
    <t>freqCode</t>
  </si>
  <si>
    <t>refPeriodId</t>
  </si>
  <si>
    <t>reporterISO</t>
  </si>
  <si>
    <t>flowDesc</t>
  </si>
  <si>
    <t>partnerISO</t>
  </si>
  <si>
    <t>cmdCode</t>
  </si>
  <si>
    <t>cmdDesc</t>
  </si>
  <si>
    <t>customsCode</t>
  </si>
  <si>
    <t>motDesc</t>
  </si>
  <si>
    <t>netWgt</t>
  </si>
  <si>
    <t>M</t>
  </si>
  <si>
    <t>NOR</t>
  </si>
  <si>
    <t>Export</t>
  </si>
  <si>
    <t>W00</t>
  </si>
  <si>
    <t>030212</t>
  </si>
  <si>
    <t>Fish; Pacific salmon (oncorhynchus nerka/gorbuscha/keta/tschawytscha/kisutch/masou/rhodurus), Atlantic salmon (salmo salar), Danube salmon (hucho hucho), fresh or chilled (excluding fillets, livers, roes and other fish meat of heading no. 0304)</t>
  </si>
  <si>
    <t>C00</t>
  </si>
  <si>
    <t>TOTAL MOT</t>
  </si>
  <si>
    <t>kg</t>
  </si>
  <si>
    <t>030214</t>
  </si>
  <si>
    <t>Fish; fresh or chilled, Atlantic salmon (Salmo salar) and Danube salmon (Hucho hucho), excluding fillets, livers, roes, and other fish meat of heading 0304</t>
  </si>
  <si>
    <t>Fish; fresh or chilled, Atlantic salmon (Salmo salar) and Danube salmon (Hucho hucho), excluding fillets, fish meat of 0304, and edible fish offal of subheadings 0302.91 to 0302.99</t>
  </si>
  <si>
    <t>primaryValueUSD</t>
  </si>
  <si>
    <t>QtyUnit</t>
  </si>
  <si>
    <t>AvgValueKg</t>
  </si>
  <si>
    <t>ReleaseDate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</si>
</sst>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2">
    <dxf>
      <numFmt numFmtId="164" formatCode="0.00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EF88E-A16D-5343-A5E8-4BC069E93249}" name="Table1" displayName="Table1" ref="A1:N265" totalsRowShown="0">
  <autoFilter ref="A1:N265" xr:uid="{AF9EF88E-A16D-5343-A5E8-4BC069E93249}"/>
  <sortState xmlns:xlrd2="http://schemas.microsoft.com/office/spreadsheetml/2017/richdata2" ref="A2:N265">
    <sortCondition ref="B1:B265"/>
  </sortState>
  <tableColumns count="14">
    <tableColumn id="1" xr3:uid="{F35194DE-B5A7-5249-9609-75201F8CE621}" name="freqCode"/>
    <tableColumn id="2" xr3:uid="{39C24010-2EB5-1B41-AB8D-BC902CC4CC4B}" name="refPeriodId"/>
    <tableColumn id="3" xr3:uid="{697FDA84-1621-4A42-A47D-72DDD359D073}" name="ReleaseDate"/>
    <tableColumn id="4" xr3:uid="{738CB3A8-EEAE-B64A-86C0-4A00114107A5}" name="reporterISO"/>
    <tableColumn id="5" xr3:uid="{13E2C87F-9598-5742-BE63-8B1EC6672929}" name="flowDesc"/>
    <tableColumn id="6" xr3:uid="{C35EFBB0-050A-9A49-9B4D-0FBEB15225E0}" name="partnerISO"/>
    <tableColumn id="7" xr3:uid="{FAB5D6B5-5E03-904B-9C1C-4D64485B045D}" name="cmdCode" dataDxfId="1"/>
    <tableColumn id="8" xr3:uid="{8726BDD2-14BE-B44F-B1C1-E64B4AE2269E}" name="cmdDesc"/>
    <tableColumn id="9" xr3:uid="{727CCCAB-D16C-1641-8930-D9239D0961BA}" name="customsCode"/>
    <tableColumn id="10" xr3:uid="{C4FC6F10-408E-B14C-B2EE-D3487D77318A}" name="motDesc"/>
    <tableColumn id="11" xr3:uid="{66F33009-886F-854E-9DAF-8FA79ED9D892}" name="QtyUnit"/>
    <tableColumn id="12" xr3:uid="{6DF84CB4-0776-854A-B8BF-434ED4D3379D}" name="netWgt"/>
    <tableColumn id="13" xr3:uid="{4FE1CE5F-913C-B548-8E7B-6B5895FC09C1}" name="primaryValueUSD"/>
    <tableColumn id="14" xr3:uid="{D5197674-0FE2-5849-8E6B-D92F904242CD}" name="AvgValueKg" dataDxfId="0">
      <calculatedColumnFormula>M2/L2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5"/>
  <sheetViews>
    <sheetView tabSelected="1" topLeftCell="H1" workbookViewId="0">
      <selection activeCell="F25" sqref="F25"/>
    </sheetView>
  </sheetViews>
  <sheetFormatPr baseColWidth="10" defaultColWidth="11" defaultRowHeight="16" x14ac:dyDescent="0.2"/>
  <cols>
    <col min="2" max="2" width="12.5" customWidth="1"/>
    <col min="3" max="3" width="13.83203125" customWidth="1"/>
    <col min="4" max="4" width="13" customWidth="1"/>
    <col min="6" max="6" width="12.33203125" customWidth="1"/>
    <col min="7" max="7" width="11" customWidth="1"/>
    <col min="8" max="8" width="209.5" bestFit="1" customWidth="1"/>
    <col min="9" max="9" width="14.33203125" customWidth="1"/>
    <col min="11" max="11" width="13.5" bestFit="1" customWidth="1"/>
    <col min="13" max="13" width="18" customWidth="1"/>
    <col min="14" max="14" width="13.1640625" customWidth="1"/>
  </cols>
  <sheetData>
    <row r="1" spans="1:14" x14ac:dyDescent="0.2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23</v>
      </c>
      <c r="L1" t="s">
        <v>9</v>
      </c>
      <c r="M1" t="s">
        <v>22</v>
      </c>
      <c r="N1" t="s">
        <v>24</v>
      </c>
    </row>
    <row r="2" spans="1:14" x14ac:dyDescent="0.2">
      <c r="A2" t="s">
        <v>10</v>
      </c>
      <c r="B2">
        <v>20050101</v>
      </c>
      <c r="C2">
        <v>20050301</v>
      </c>
      <c r="D2" t="s">
        <v>11</v>
      </c>
      <c r="E2" t="s">
        <v>12</v>
      </c>
      <c r="F2" t="s">
        <v>13</v>
      </c>
      <c r="G2" s="2" t="s">
        <v>14</v>
      </c>
      <c r="H2" t="s">
        <v>15</v>
      </c>
      <c r="I2" t="s">
        <v>16</v>
      </c>
      <c r="J2" t="s">
        <v>17</v>
      </c>
      <c r="K2" t="s">
        <v>18</v>
      </c>
      <c r="L2">
        <v>25422353</v>
      </c>
      <c r="M2">
        <v>93884249.272</v>
      </c>
      <c r="N2" s="4">
        <f>M2/L2</f>
        <v>3.6929803182262475</v>
      </c>
    </row>
    <row r="3" spans="1:14" x14ac:dyDescent="0.2">
      <c r="A3" t="s">
        <v>10</v>
      </c>
      <c r="B3">
        <v>20050201</v>
      </c>
      <c r="C3">
        <v>20050401</v>
      </c>
      <c r="D3" t="s">
        <v>11</v>
      </c>
      <c r="E3" t="s">
        <v>12</v>
      </c>
      <c r="F3" t="s">
        <v>13</v>
      </c>
      <c r="G3" s="2" t="s">
        <v>14</v>
      </c>
      <c r="H3" t="s">
        <v>15</v>
      </c>
      <c r="I3" t="s">
        <v>16</v>
      </c>
      <c r="J3" t="s">
        <v>17</v>
      </c>
      <c r="K3" t="s">
        <v>18</v>
      </c>
      <c r="L3">
        <v>24689491</v>
      </c>
      <c r="M3">
        <v>96031734.523000002</v>
      </c>
      <c r="N3" s="4">
        <f>M3/L3</f>
        <v>3.8895793567797732</v>
      </c>
    </row>
    <row r="4" spans="1:14" x14ac:dyDescent="0.2">
      <c r="A4" t="s">
        <v>10</v>
      </c>
      <c r="B4">
        <v>20050301</v>
      </c>
      <c r="C4">
        <v>20050501</v>
      </c>
      <c r="D4" t="s">
        <v>11</v>
      </c>
      <c r="E4" t="s">
        <v>12</v>
      </c>
      <c r="F4" t="s">
        <v>13</v>
      </c>
      <c r="G4" s="2" t="s">
        <v>14</v>
      </c>
      <c r="H4" t="s">
        <v>15</v>
      </c>
      <c r="I4" t="s">
        <v>16</v>
      </c>
      <c r="J4" t="s">
        <v>17</v>
      </c>
      <c r="K4" t="s">
        <v>18</v>
      </c>
      <c r="L4">
        <v>30701519</v>
      </c>
      <c r="M4">
        <v>122072922.15000001</v>
      </c>
      <c r="N4" s="4">
        <f>M4/L4</f>
        <v>3.9761199486579151</v>
      </c>
    </row>
    <row r="5" spans="1:14" x14ac:dyDescent="0.2">
      <c r="A5" t="s">
        <v>10</v>
      </c>
      <c r="B5">
        <v>20050401</v>
      </c>
      <c r="C5">
        <v>20050601</v>
      </c>
      <c r="D5" t="s">
        <v>11</v>
      </c>
      <c r="E5" t="s">
        <v>12</v>
      </c>
      <c r="F5" t="s">
        <v>13</v>
      </c>
      <c r="G5" s="2" t="s">
        <v>14</v>
      </c>
      <c r="H5" t="s">
        <v>15</v>
      </c>
      <c r="I5" t="s">
        <v>16</v>
      </c>
      <c r="J5" t="s">
        <v>17</v>
      </c>
      <c r="K5" t="s">
        <v>18</v>
      </c>
      <c r="L5">
        <v>30757554</v>
      </c>
      <c r="M5">
        <v>122306911.91500001</v>
      </c>
      <c r="N5" s="4">
        <f>M5/L5</f>
        <v>3.9764836929165437</v>
      </c>
    </row>
    <row r="6" spans="1:14" x14ac:dyDescent="0.2">
      <c r="A6" t="s">
        <v>10</v>
      </c>
      <c r="B6">
        <v>20050501</v>
      </c>
      <c r="C6">
        <v>20050701</v>
      </c>
      <c r="D6" t="s">
        <v>11</v>
      </c>
      <c r="E6" t="s">
        <v>12</v>
      </c>
      <c r="F6" t="s">
        <v>13</v>
      </c>
      <c r="G6" s="2" t="s">
        <v>14</v>
      </c>
      <c r="H6" t="s">
        <v>15</v>
      </c>
      <c r="I6" t="s">
        <v>16</v>
      </c>
      <c r="J6" t="s">
        <v>17</v>
      </c>
      <c r="K6" t="s">
        <v>18</v>
      </c>
      <c r="L6">
        <v>25660080</v>
      </c>
      <c r="M6">
        <v>102490948.37</v>
      </c>
      <c r="N6" s="4">
        <f>M6/L6</f>
        <v>3.994178832256174</v>
      </c>
    </row>
    <row r="7" spans="1:14" x14ac:dyDescent="0.2">
      <c r="A7" t="s">
        <v>10</v>
      </c>
      <c r="B7">
        <v>20050601</v>
      </c>
      <c r="C7">
        <v>20050801</v>
      </c>
      <c r="D7" t="s">
        <v>11</v>
      </c>
      <c r="E7" t="s">
        <v>12</v>
      </c>
      <c r="F7" t="s">
        <v>13</v>
      </c>
      <c r="G7" s="2" t="s">
        <v>14</v>
      </c>
      <c r="H7" t="s">
        <v>15</v>
      </c>
      <c r="I7" t="s">
        <v>16</v>
      </c>
      <c r="J7" t="s">
        <v>17</v>
      </c>
      <c r="K7" t="s">
        <v>18</v>
      </c>
      <c r="L7">
        <v>30158331</v>
      </c>
      <c r="M7">
        <v>126527719.164</v>
      </c>
      <c r="N7" s="4">
        <f>M7/L7</f>
        <v>4.1954483211952285</v>
      </c>
    </row>
    <row r="8" spans="1:14" x14ac:dyDescent="0.2">
      <c r="A8" t="s">
        <v>10</v>
      </c>
      <c r="B8">
        <v>20050701</v>
      </c>
      <c r="C8">
        <v>20050901</v>
      </c>
      <c r="D8" t="s">
        <v>11</v>
      </c>
      <c r="E8" t="s">
        <v>12</v>
      </c>
      <c r="F8" t="s">
        <v>13</v>
      </c>
      <c r="G8" s="2" t="s">
        <v>14</v>
      </c>
      <c r="H8" t="s">
        <v>15</v>
      </c>
      <c r="I8" t="s">
        <v>16</v>
      </c>
      <c r="J8" t="s">
        <v>17</v>
      </c>
      <c r="K8" t="s">
        <v>18</v>
      </c>
      <c r="L8">
        <v>28199526</v>
      </c>
      <c r="M8">
        <v>123501801.382</v>
      </c>
      <c r="N8" s="4">
        <f>M8/L8</f>
        <v>4.3795701169587034</v>
      </c>
    </row>
    <row r="9" spans="1:14" x14ac:dyDescent="0.2">
      <c r="A9" t="s">
        <v>10</v>
      </c>
      <c r="B9">
        <v>20050801</v>
      </c>
      <c r="C9">
        <v>20051001</v>
      </c>
      <c r="D9" t="s">
        <v>11</v>
      </c>
      <c r="E9" t="s">
        <v>12</v>
      </c>
      <c r="F9" t="s">
        <v>13</v>
      </c>
      <c r="G9" s="2" t="s">
        <v>14</v>
      </c>
      <c r="H9" t="s">
        <v>15</v>
      </c>
      <c r="I9" t="s">
        <v>16</v>
      </c>
      <c r="J9" t="s">
        <v>17</v>
      </c>
      <c r="K9" t="s">
        <v>18</v>
      </c>
      <c r="L9">
        <v>29142013</v>
      </c>
      <c r="M9">
        <v>126356547.507</v>
      </c>
      <c r="N9" s="4">
        <f>M9/L9</f>
        <v>4.3358894770584309</v>
      </c>
    </row>
    <row r="10" spans="1:14" x14ac:dyDescent="0.2">
      <c r="A10" t="s">
        <v>10</v>
      </c>
      <c r="B10">
        <v>20050901</v>
      </c>
      <c r="C10">
        <v>20051101</v>
      </c>
      <c r="D10" t="s">
        <v>11</v>
      </c>
      <c r="E10" t="s">
        <v>12</v>
      </c>
      <c r="F10" t="s">
        <v>13</v>
      </c>
      <c r="G10" s="2" t="s">
        <v>14</v>
      </c>
      <c r="H10" t="s">
        <v>15</v>
      </c>
      <c r="I10" t="s">
        <v>16</v>
      </c>
      <c r="J10" t="s">
        <v>17</v>
      </c>
      <c r="K10" t="s">
        <v>18</v>
      </c>
      <c r="L10">
        <v>37199853</v>
      </c>
      <c r="M10">
        <v>155530520.62799999</v>
      </c>
      <c r="N10" s="4">
        <f>M10/L10</f>
        <v>4.1809444953451829</v>
      </c>
    </row>
    <row r="11" spans="1:14" x14ac:dyDescent="0.2">
      <c r="A11" t="s">
        <v>10</v>
      </c>
      <c r="B11">
        <v>20051001</v>
      </c>
      <c r="C11">
        <v>20051201</v>
      </c>
      <c r="D11" t="s">
        <v>11</v>
      </c>
      <c r="E11" t="s">
        <v>12</v>
      </c>
      <c r="F11" t="s">
        <v>13</v>
      </c>
      <c r="G11" s="2" t="s">
        <v>14</v>
      </c>
      <c r="H11" t="s">
        <v>15</v>
      </c>
      <c r="I11" t="s">
        <v>16</v>
      </c>
      <c r="J11" t="s">
        <v>17</v>
      </c>
      <c r="K11" t="s">
        <v>18</v>
      </c>
      <c r="L11">
        <v>35076693</v>
      </c>
      <c r="M11">
        <v>141067503.829</v>
      </c>
      <c r="N11" s="4">
        <f>M11/L11</f>
        <v>4.0216876724667285</v>
      </c>
    </row>
    <row r="12" spans="1:14" x14ac:dyDescent="0.2">
      <c r="A12" t="s">
        <v>10</v>
      </c>
      <c r="B12">
        <v>20051101</v>
      </c>
      <c r="C12">
        <v>20060101</v>
      </c>
      <c r="D12" t="s">
        <v>11</v>
      </c>
      <c r="E12" t="s">
        <v>12</v>
      </c>
      <c r="F12" t="s">
        <v>13</v>
      </c>
      <c r="G12" s="2" t="s">
        <v>14</v>
      </c>
      <c r="H12" t="s">
        <v>15</v>
      </c>
      <c r="I12" t="s">
        <v>16</v>
      </c>
      <c r="J12" t="s">
        <v>17</v>
      </c>
      <c r="K12" t="s">
        <v>18</v>
      </c>
      <c r="L12">
        <v>40401752</v>
      </c>
      <c r="M12">
        <v>158660088.62400001</v>
      </c>
      <c r="N12" s="4">
        <f>M12/L12</f>
        <v>3.9270596142464318</v>
      </c>
    </row>
    <row r="13" spans="1:14" x14ac:dyDescent="0.2">
      <c r="A13" t="s">
        <v>10</v>
      </c>
      <c r="B13">
        <v>20051201</v>
      </c>
      <c r="C13">
        <v>20060201</v>
      </c>
      <c r="D13" t="s">
        <v>11</v>
      </c>
      <c r="E13" t="s">
        <v>12</v>
      </c>
      <c r="F13" t="s">
        <v>13</v>
      </c>
      <c r="G13" s="2" t="s">
        <v>14</v>
      </c>
      <c r="H13" t="s">
        <v>15</v>
      </c>
      <c r="I13" t="s">
        <v>16</v>
      </c>
      <c r="J13" t="s">
        <v>17</v>
      </c>
      <c r="K13" t="s">
        <v>18</v>
      </c>
      <c r="L13">
        <v>45265398</v>
      </c>
      <c r="M13">
        <v>187034414.39300001</v>
      </c>
      <c r="N13" s="4">
        <f>M13/L13</f>
        <v>4.131951173675751</v>
      </c>
    </row>
    <row r="14" spans="1:14" x14ac:dyDescent="0.2">
      <c r="A14" t="s">
        <v>10</v>
      </c>
      <c r="B14">
        <v>20060101</v>
      </c>
      <c r="C14">
        <v>20060301</v>
      </c>
      <c r="D14" t="s">
        <v>11</v>
      </c>
      <c r="E14" t="s">
        <v>12</v>
      </c>
      <c r="F14" t="s">
        <v>13</v>
      </c>
      <c r="G14" s="2" t="s">
        <v>14</v>
      </c>
      <c r="H14" t="s">
        <v>15</v>
      </c>
      <c r="I14" t="s">
        <v>16</v>
      </c>
      <c r="J14" t="s">
        <v>17</v>
      </c>
      <c r="K14" t="s">
        <v>18</v>
      </c>
      <c r="L14">
        <v>26819935</v>
      </c>
      <c r="M14">
        <v>108006902.90700001</v>
      </c>
      <c r="N14" s="4">
        <f>M14/L14</f>
        <v>4.0271127766342465</v>
      </c>
    </row>
    <row r="15" spans="1:14" x14ac:dyDescent="0.2">
      <c r="A15" t="s">
        <v>10</v>
      </c>
      <c r="B15">
        <v>20060201</v>
      </c>
      <c r="C15">
        <v>20060401</v>
      </c>
      <c r="D15" t="s">
        <v>11</v>
      </c>
      <c r="E15" t="s">
        <v>12</v>
      </c>
      <c r="F15" t="s">
        <v>13</v>
      </c>
      <c r="G15" s="2" t="s">
        <v>14</v>
      </c>
      <c r="H15" t="s">
        <v>15</v>
      </c>
      <c r="I15" t="s">
        <v>16</v>
      </c>
      <c r="J15" t="s">
        <v>17</v>
      </c>
      <c r="K15" t="s">
        <v>18</v>
      </c>
      <c r="L15">
        <v>27490992</v>
      </c>
      <c r="M15">
        <v>110114065.59</v>
      </c>
      <c r="N15" s="4">
        <f>M15/L15</f>
        <v>4.0054598826408299</v>
      </c>
    </row>
    <row r="16" spans="1:14" x14ac:dyDescent="0.2">
      <c r="A16" t="s">
        <v>10</v>
      </c>
      <c r="B16">
        <v>20060301</v>
      </c>
      <c r="C16">
        <v>20060501</v>
      </c>
      <c r="D16" t="s">
        <v>11</v>
      </c>
      <c r="E16" t="s">
        <v>12</v>
      </c>
      <c r="F16" t="s">
        <v>13</v>
      </c>
      <c r="G16" s="2" t="s">
        <v>14</v>
      </c>
      <c r="H16" t="s">
        <v>15</v>
      </c>
      <c r="I16" t="s">
        <v>16</v>
      </c>
      <c r="J16" t="s">
        <v>17</v>
      </c>
      <c r="K16" t="s">
        <v>18</v>
      </c>
      <c r="L16">
        <v>36209200</v>
      </c>
      <c r="M16">
        <v>167134819.94</v>
      </c>
      <c r="N16" s="4">
        <f>M16/L16</f>
        <v>4.6158108972305376</v>
      </c>
    </row>
    <row r="17" spans="1:14" x14ac:dyDescent="0.2">
      <c r="A17" t="s">
        <v>10</v>
      </c>
      <c r="B17">
        <v>20060401</v>
      </c>
      <c r="C17">
        <v>20060601</v>
      </c>
      <c r="D17" t="s">
        <v>11</v>
      </c>
      <c r="E17" t="s">
        <v>12</v>
      </c>
      <c r="F17" t="s">
        <v>13</v>
      </c>
      <c r="G17" s="2" t="s">
        <v>14</v>
      </c>
      <c r="H17" t="s">
        <v>15</v>
      </c>
      <c r="I17" t="s">
        <v>16</v>
      </c>
      <c r="J17" t="s">
        <v>17</v>
      </c>
      <c r="K17" t="s">
        <v>18</v>
      </c>
      <c r="L17">
        <v>29440602</v>
      </c>
      <c r="M17">
        <v>159883604.713</v>
      </c>
      <c r="N17" s="4">
        <f>M17/L17</f>
        <v>5.4307179151092084</v>
      </c>
    </row>
    <row r="18" spans="1:14" x14ac:dyDescent="0.2">
      <c r="A18" t="s">
        <v>10</v>
      </c>
      <c r="B18">
        <v>20060501</v>
      </c>
      <c r="C18">
        <v>20060701</v>
      </c>
      <c r="D18" t="s">
        <v>11</v>
      </c>
      <c r="E18" t="s">
        <v>12</v>
      </c>
      <c r="F18" t="s">
        <v>13</v>
      </c>
      <c r="G18" s="2" t="s">
        <v>14</v>
      </c>
      <c r="H18" t="s">
        <v>15</v>
      </c>
      <c r="I18" t="s">
        <v>16</v>
      </c>
      <c r="J18" t="s">
        <v>17</v>
      </c>
      <c r="K18" t="s">
        <v>18</v>
      </c>
      <c r="L18">
        <v>28967638</v>
      </c>
      <c r="M18">
        <v>178928024.87599999</v>
      </c>
      <c r="N18" s="4">
        <f>M18/L18</f>
        <v>6.1768248027678334</v>
      </c>
    </row>
    <row r="19" spans="1:14" x14ac:dyDescent="0.2">
      <c r="A19" t="s">
        <v>10</v>
      </c>
      <c r="B19">
        <v>20060601</v>
      </c>
      <c r="C19">
        <v>20060801</v>
      </c>
      <c r="D19" t="s">
        <v>11</v>
      </c>
      <c r="E19" t="s">
        <v>12</v>
      </c>
      <c r="F19" t="s">
        <v>13</v>
      </c>
      <c r="G19" s="2" t="s">
        <v>14</v>
      </c>
      <c r="H19" t="s">
        <v>15</v>
      </c>
      <c r="I19" t="s">
        <v>16</v>
      </c>
      <c r="J19" t="s">
        <v>17</v>
      </c>
      <c r="K19" t="s">
        <v>18</v>
      </c>
      <c r="L19">
        <v>31911770</v>
      </c>
      <c r="M19">
        <v>213349075.52000001</v>
      </c>
      <c r="N19" s="4">
        <f>M19/L19</f>
        <v>6.6855920408050071</v>
      </c>
    </row>
    <row r="20" spans="1:14" x14ac:dyDescent="0.2">
      <c r="A20" t="s">
        <v>10</v>
      </c>
      <c r="B20">
        <v>20060701</v>
      </c>
      <c r="C20">
        <v>20060901</v>
      </c>
      <c r="D20" t="s">
        <v>11</v>
      </c>
      <c r="E20" t="s">
        <v>12</v>
      </c>
      <c r="F20" t="s">
        <v>13</v>
      </c>
      <c r="G20" s="2" t="s">
        <v>14</v>
      </c>
      <c r="H20" t="s">
        <v>15</v>
      </c>
      <c r="I20" t="s">
        <v>16</v>
      </c>
      <c r="J20" t="s">
        <v>17</v>
      </c>
      <c r="K20" t="s">
        <v>18</v>
      </c>
      <c r="L20">
        <v>24816857</v>
      </c>
      <c r="M20">
        <v>152482259.005</v>
      </c>
      <c r="N20" s="4">
        <f>M20/L20</f>
        <v>6.1443017947437903</v>
      </c>
    </row>
    <row r="21" spans="1:14" x14ac:dyDescent="0.2">
      <c r="A21" t="s">
        <v>10</v>
      </c>
      <c r="B21">
        <v>20060801</v>
      </c>
      <c r="C21">
        <v>20061001</v>
      </c>
      <c r="D21" t="s">
        <v>11</v>
      </c>
      <c r="E21" t="s">
        <v>12</v>
      </c>
      <c r="F21" t="s">
        <v>13</v>
      </c>
      <c r="G21" s="2" t="s">
        <v>14</v>
      </c>
      <c r="H21" t="s">
        <v>15</v>
      </c>
      <c r="I21" t="s">
        <v>16</v>
      </c>
      <c r="J21" t="s">
        <v>17</v>
      </c>
      <c r="K21" t="s">
        <v>18</v>
      </c>
      <c r="L21">
        <v>29308592</v>
      </c>
      <c r="M21">
        <v>170818653.729</v>
      </c>
      <c r="N21" s="4">
        <f>M21/L21</f>
        <v>5.8282790837922205</v>
      </c>
    </row>
    <row r="22" spans="1:14" x14ac:dyDescent="0.2">
      <c r="A22" t="s">
        <v>10</v>
      </c>
      <c r="B22">
        <v>20060901</v>
      </c>
      <c r="C22">
        <v>20061101</v>
      </c>
      <c r="D22" t="s">
        <v>11</v>
      </c>
      <c r="E22" t="s">
        <v>12</v>
      </c>
      <c r="F22" t="s">
        <v>13</v>
      </c>
      <c r="G22" s="2" t="s">
        <v>14</v>
      </c>
      <c r="H22" t="s">
        <v>15</v>
      </c>
      <c r="I22" t="s">
        <v>16</v>
      </c>
      <c r="J22" t="s">
        <v>17</v>
      </c>
      <c r="K22" t="s">
        <v>18</v>
      </c>
      <c r="L22">
        <v>33852304</v>
      </c>
      <c r="M22">
        <v>159856015.89700001</v>
      </c>
      <c r="N22" s="4">
        <f>M22/L22</f>
        <v>4.7221605919939753</v>
      </c>
    </row>
    <row r="23" spans="1:14" x14ac:dyDescent="0.2">
      <c r="A23" t="s">
        <v>10</v>
      </c>
      <c r="B23">
        <v>20061001</v>
      </c>
      <c r="C23">
        <v>20061201</v>
      </c>
      <c r="D23" t="s">
        <v>11</v>
      </c>
      <c r="E23" t="s">
        <v>12</v>
      </c>
      <c r="F23" t="s">
        <v>13</v>
      </c>
      <c r="G23" s="2" t="s">
        <v>14</v>
      </c>
      <c r="H23" t="s">
        <v>15</v>
      </c>
      <c r="I23" t="s">
        <v>16</v>
      </c>
      <c r="J23" t="s">
        <v>17</v>
      </c>
      <c r="K23" t="s">
        <v>18</v>
      </c>
      <c r="L23">
        <v>38556864</v>
      </c>
      <c r="M23">
        <v>165548715.15000001</v>
      </c>
      <c r="N23" s="4">
        <f>M23/L23</f>
        <v>4.2936249989107003</v>
      </c>
    </row>
    <row r="24" spans="1:14" x14ac:dyDescent="0.2">
      <c r="A24" t="s">
        <v>10</v>
      </c>
      <c r="B24">
        <v>20061101</v>
      </c>
      <c r="C24">
        <v>20070101</v>
      </c>
      <c r="D24" t="s">
        <v>11</v>
      </c>
      <c r="E24" t="s">
        <v>12</v>
      </c>
      <c r="F24" t="s">
        <v>13</v>
      </c>
      <c r="G24" s="2" t="s">
        <v>14</v>
      </c>
      <c r="H24" t="s">
        <v>15</v>
      </c>
      <c r="I24" t="s">
        <v>16</v>
      </c>
      <c r="J24" t="s">
        <v>17</v>
      </c>
      <c r="K24" t="s">
        <v>18</v>
      </c>
      <c r="L24">
        <v>45175100</v>
      </c>
      <c r="M24">
        <v>194807742.18799999</v>
      </c>
      <c r="N24" s="4">
        <f>M24/L24</f>
        <v>4.3122813715520278</v>
      </c>
    </row>
    <row r="25" spans="1:14" x14ac:dyDescent="0.2">
      <c r="A25" t="s">
        <v>10</v>
      </c>
      <c r="B25">
        <v>20061201</v>
      </c>
      <c r="C25">
        <v>20070201</v>
      </c>
      <c r="D25" t="s">
        <v>11</v>
      </c>
      <c r="E25" t="s">
        <v>12</v>
      </c>
      <c r="F25" t="s">
        <v>13</v>
      </c>
      <c r="G25" s="2" t="s">
        <v>14</v>
      </c>
      <c r="H25" t="s">
        <v>15</v>
      </c>
      <c r="I25" t="s">
        <v>16</v>
      </c>
      <c r="J25" t="s">
        <v>17</v>
      </c>
      <c r="K25" t="s">
        <v>18</v>
      </c>
      <c r="L25">
        <v>45597908</v>
      </c>
      <c r="M25">
        <v>205491266.882</v>
      </c>
      <c r="N25" s="4">
        <f>M25/L25</f>
        <v>4.5065941815137656</v>
      </c>
    </row>
    <row r="26" spans="1:14" x14ac:dyDescent="0.2">
      <c r="A26" t="s">
        <v>10</v>
      </c>
      <c r="B26">
        <v>20070101</v>
      </c>
      <c r="C26">
        <v>20070301</v>
      </c>
      <c r="D26" t="s">
        <v>11</v>
      </c>
      <c r="E26" t="s">
        <v>12</v>
      </c>
      <c r="F26" t="s">
        <v>13</v>
      </c>
      <c r="G26" s="2" t="s">
        <v>14</v>
      </c>
      <c r="H26" t="s">
        <v>15</v>
      </c>
      <c r="I26" t="s">
        <v>16</v>
      </c>
      <c r="J26" t="s">
        <v>17</v>
      </c>
      <c r="K26" t="s">
        <v>18</v>
      </c>
      <c r="L26">
        <v>34090933</v>
      </c>
      <c r="M26">
        <v>152176420.70300001</v>
      </c>
      <c r="N26" s="4">
        <f>M26/L26</f>
        <v>4.4638385433159016</v>
      </c>
    </row>
    <row r="27" spans="1:14" x14ac:dyDescent="0.2">
      <c r="A27" t="s">
        <v>10</v>
      </c>
      <c r="B27">
        <v>20070201</v>
      </c>
      <c r="C27">
        <v>20070401</v>
      </c>
      <c r="D27" t="s">
        <v>11</v>
      </c>
      <c r="E27" t="s">
        <v>12</v>
      </c>
      <c r="F27" t="s">
        <v>13</v>
      </c>
      <c r="G27" s="2" t="s">
        <v>14</v>
      </c>
      <c r="H27" t="s">
        <v>15</v>
      </c>
      <c r="I27" t="s">
        <v>16</v>
      </c>
      <c r="J27" t="s">
        <v>17</v>
      </c>
      <c r="K27" t="s">
        <v>18</v>
      </c>
      <c r="L27">
        <v>32478765</v>
      </c>
      <c r="M27">
        <v>150158968.87599999</v>
      </c>
      <c r="N27" s="4">
        <f>M27/L27</f>
        <v>4.623296756388366</v>
      </c>
    </row>
    <row r="28" spans="1:14" x14ac:dyDescent="0.2">
      <c r="A28" t="s">
        <v>10</v>
      </c>
      <c r="B28">
        <v>20070301</v>
      </c>
      <c r="C28">
        <v>20070501</v>
      </c>
      <c r="D28" t="s">
        <v>11</v>
      </c>
      <c r="E28" t="s">
        <v>12</v>
      </c>
      <c r="F28" t="s">
        <v>13</v>
      </c>
      <c r="G28" s="2" t="s">
        <v>14</v>
      </c>
      <c r="H28" t="s">
        <v>15</v>
      </c>
      <c r="I28" t="s">
        <v>16</v>
      </c>
      <c r="J28" t="s">
        <v>17</v>
      </c>
      <c r="K28" t="s">
        <v>18</v>
      </c>
      <c r="L28">
        <v>44641308</v>
      </c>
      <c r="M28">
        <v>209784933.85800001</v>
      </c>
      <c r="N28" s="4">
        <f>M28/L28</f>
        <v>4.6993455894706315</v>
      </c>
    </row>
    <row r="29" spans="1:14" x14ac:dyDescent="0.2">
      <c r="A29" t="s">
        <v>10</v>
      </c>
      <c r="B29">
        <v>20070401</v>
      </c>
      <c r="C29">
        <v>20070601</v>
      </c>
      <c r="D29" t="s">
        <v>11</v>
      </c>
      <c r="E29" t="s">
        <v>12</v>
      </c>
      <c r="F29" t="s">
        <v>13</v>
      </c>
      <c r="G29" s="2" t="s">
        <v>14</v>
      </c>
      <c r="H29" t="s">
        <v>15</v>
      </c>
      <c r="I29" t="s">
        <v>16</v>
      </c>
      <c r="J29" t="s">
        <v>17</v>
      </c>
      <c r="K29" t="s">
        <v>18</v>
      </c>
      <c r="L29">
        <v>34566517</v>
      </c>
      <c r="M29">
        <v>165098935.53099999</v>
      </c>
      <c r="N29" s="4">
        <f>M29/L29</f>
        <v>4.7762676098086478</v>
      </c>
    </row>
    <row r="30" spans="1:14" x14ac:dyDescent="0.2">
      <c r="A30" t="s">
        <v>10</v>
      </c>
      <c r="B30">
        <v>20070501</v>
      </c>
      <c r="C30">
        <v>20070701</v>
      </c>
      <c r="D30" t="s">
        <v>11</v>
      </c>
      <c r="E30" t="s">
        <v>12</v>
      </c>
      <c r="F30" t="s">
        <v>13</v>
      </c>
      <c r="G30" s="2" t="s">
        <v>14</v>
      </c>
      <c r="H30" t="s">
        <v>15</v>
      </c>
      <c r="I30" t="s">
        <v>16</v>
      </c>
      <c r="J30" t="s">
        <v>17</v>
      </c>
      <c r="K30" t="s">
        <v>18</v>
      </c>
      <c r="L30">
        <v>40415854</v>
      </c>
      <c r="M30">
        <v>179104505.537</v>
      </c>
      <c r="N30" s="4">
        <f>M30/L30</f>
        <v>4.4315407893397474</v>
      </c>
    </row>
    <row r="31" spans="1:14" x14ac:dyDescent="0.2">
      <c r="A31" t="s">
        <v>10</v>
      </c>
      <c r="B31">
        <v>20070601</v>
      </c>
      <c r="C31">
        <v>20070801</v>
      </c>
      <c r="D31" t="s">
        <v>11</v>
      </c>
      <c r="E31" t="s">
        <v>12</v>
      </c>
      <c r="F31" t="s">
        <v>13</v>
      </c>
      <c r="G31" s="2" t="s">
        <v>14</v>
      </c>
      <c r="H31" t="s">
        <v>15</v>
      </c>
      <c r="I31" t="s">
        <v>16</v>
      </c>
      <c r="J31" t="s">
        <v>17</v>
      </c>
      <c r="K31" t="s">
        <v>18</v>
      </c>
      <c r="L31">
        <v>44167870</v>
      </c>
      <c r="M31">
        <v>186510538.57499999</v>
      </c>
      <c r="N31" s="4">
        <f>M31/L31</f>
        <v>4.2227650682498385</v>
      </c>
    </row>
    <row r="32" spans="1:14" x14ac:dyDescent="0.2">
      <c r="A32" t="s">
        <v>10</v>
      </c>
      <c r="B32">
        <v>20070701</v>
      </c>
      <c r="C32">
        <v>20070901</v>
      </c>
      <c r="D32" t="s">
        <v>11</v>
      </c>
      <c r="E32" t="s">
        <v>12</v>
      </c>
      <c r="F32" t="s">
        <v>13</v>
      </c>
      <c r="G32" s="2" t="s">
        <v>14</v>
      </c>
      <c r="H32" t="s">
        <v>15</v>
      </c>
      <c r="I32" t="s">
        <v>16</v>
      </c>
      <c r="J32" t="s">
        <v>17</v>
      </c>
      <c r="K32" t="s">
        <v>18</v>
      </c>
      <c r="L32">
        <v>37797258</v>
      </c>
      <c r="M32">
        <v>164483645.051</v>
      </c>
      <c r="N32" s="4">
        <f>M32/L32</f>
        <v>4.3517348547082433</v>
      </c>
    </row>
    <row r="33" spans="1:14" x14ac:dyDescent="0.2">
      <c r="A33" t="s">
        <v>10</v>
      </c>
      <c r="B33">
        <v>20070801</v>
      </c>
      <c r="C33">
        <v>20071001</v>
      </c>
      <c r="D33" t="s">
        <v>11</v>
      </c>
      <c r="E33" t="s">
        <v>12</v>
      </c>
      <c r="F33" t="s">
        <v>13</v>
      </c>
      <c r="G33" s="2" t="s">
        <v>14</v>
      </c>
      <c r="H33" t="s">
        <v>15</v>
      </c>
      <c r="I33" t="s">
        <v>16</v>
      </c>
      <c r="J33" t="s">
        <v>17</v>
      </c>
      <c r="K33" t="s">
        <v>18</v>
      </c>
      <c r="L33">
        <v>38139276</v>
      </c>
      <c r="M33">
        <v>180541522.706</v>
      </c>
      <c r="N33" s="4">
        <f>M33/L33</f>
        <v>4.7337427880382421</v>
      </c>
    </row>
    <row r="34" spans="1:14" x14ac:dyDescent="0.2">
      <c r="A34" t="s">
        <v>10</v>
      </c>
      <c r="B34">
        <v>20070901</v>
      </c>
      <c r="C34">
        <v>20071101</v>
      </c>
      <c r="D34" t="s">
        <v>11</v>
      </c>
      <c r="E34" t="s">
        <v>12</v>
      </c>
      <c r="F34" t="s">
        <v>13</v>
      </c>
      <c r="G34" s="2" t="s">
        <v>14</v>
      </c>
      <c r="H34" t="s">
        <v>15</v>
      </c>
      <c r="I34" t="s">
        <v>16</v>
      </c>
      <c r="J34" t="s">
        <v>17</v>
      </c>
      <c r="K34" t="s">
        <v>18</v>
      </c>
      <c r="L34">
        <v>42042828</v>
      </c>
      <c r="M34">
        <v>192469967.21700001</v>
      </c>
      <c r="N34" s="4">
        <f>M34/L34</f>
        <v>4.5779500659898522</v>
      </c>
    </row>
    <row r="35" spans="1:14" x14ac:dyDescent="0.2">
      <c r="A35" t="s">
        <v>10</v>
      </c>
      <c r="B35">
        <v>20071001</v>
      </c>
      <c r="C35">
        <v>20071201</v>
      </c>
      <c r="D35" t="s">
        <v>11</v>
      </c>
      <c r="E35" t="s">
        <v>12</v>
      </c>
      <c r="F35" t="s">
        <v>13</v>
      </c>
      <c r="G35" s="2" t="s">
        <v>14</v>
      </c>
      <c r="H35" t="s">
        <v>15</v>
      </c>
      <c r="I35" t="s">
        <v>16</v>
      </c>
      <c r="J35" t="s">
        <v>17</v>
      </c>
      <c r="K35" t="s">
        <v>18</v>
      </c>
      <c r="L35">
        <v>45045126</v>
      </c>
      <c r="M35">
        <v>201673416.70300001</v>
      </c>
      <c r="N35" s="4">
        <f>M35/L35</f>
        <v>4.4771418044873492</v>
      </c>
    </row>
    <row r="36" spans="1:14" x14ac:dyDescent="0.2">
      <c r="A36" t="s">
        <v>10</v>
      </c>
      <c r="B36">
        <v>20071101</v>
      </c>
      <c r="C36">
        <v>20080101</v>
      </c>
      <c r="D36" t="s">
        <v>11</v>
      </c>
      <c r="E36" t="s">
        <v>12</v>
      </c>
      <c r="F36" t="s">
        <v>13</v>
      </c>
      <c r="G36" s="2" t="s">
        <v>14</v>
      </c>
      <c r="H36" t="s">
        <v>15</v>
      </c>
      <c r="I36" t="s">
        <v>16</v>
      </c>
      <c r="J36" t="s">
        <v>17</v>
      </c>
      <c r="K36" t="s">
        <v>18</v>
      </c>
      <c r="L36">
        <v>52476807</v>
      </c>
      <c r="M36">
        <v>236331776.56299999</v>
      </c>
      <c r="N36" s="4">
        <f>M36/L36</f>
        <v>4.5035471872936172</v>
      </c>
    </row>
    <row r="37" spans="1:14" x14ac:dyDescent="0.2">
      <c r="A37" t="s">
        <v>10</v>
      </c>
      <c r="B37">
        <v>20071201</v>
      </c>
      <c r="C37">
        <v>20080201</v>
      </c>
      <c r="D37" t="s">
        <v>11</v>
      </c>
      <c r="E37" t="s">
        <v>12</v>
      </c>
      <c r="F37" t="s">
        <v>13</v>
      </c>
      <c r="G37" s="2" t="s">
        <v>14</v>
      </c>
      <c r="H37" t="s">
        <v>15</v>
      </c>
      <c r="I37" t="s">
        <v>16</v>
      </c>
      <c r="J37" t="s">
        <v>17</v>
      </c>
      <c r="K37" t="s">
        <v>18</v>
      </c>
      <c r="L37">
        <v>48084704</v>
      </c>
      <c r="M37">
        <v>224612788.47799999</v>
      </c>
      <c r="N37" s="4">
        <f>M37/L37</f>
        <v>4.6711900000049908</v>
      </c>
    </row>
    <row r="38" spans="1:14" x14ac:dyDescent="0.2">
      <c r="A38" t="s">
        <v>10</v>
      </c>
      <c r="B38">
        <v>20080101</v>
      </c>
      <c r="C38">
        <v>20080301</v>
      </c>
      <c r="D38" t="s">
        <v>11</v>
      </c>
      <c r="E38" t="s">
        <v>12</v>
      </c>
      <c r="F38" t="s">
        <v>13</v>
      </c>
      <c r="G38" s="2" t="s">
        <v>14</v>
      </c>
      <c r="H38" t="s">
        <v>15</v>
      </c>
      <c r="I38" t="s">
        <v>16</v>
      </c>
      <c r="J38" t="s">
        <v>17</v>
      </c>
      <c r="K38" t="s">
        <v>18</v>
      </c>
      <c r="L38">
        <v>38184792</v>
      </c>
      <c r="M38">
        <v>183747776.759</v>
      </c>
      <c r="N38" s="4">
        <f>M38/L38</f>
        <v>4.8120669809855192</v>
      </c>
    </row>
    <row r="39" spans="1:14" x14ac:dyDescent="0.2">
      <c r="A39" t="s">
        <v>10</v>
      </c>
      <c r="B39">
        <v>20080201</v>
      </c>
      <c r="C39">
        <v>20080401</v>
      </c>
      <c r="D39" t="s">
        <v>11</v>
      </c>
      <c r="E39" t="s">
        <v>12</v>
      </c>
      <c r="F39" t="s">
        <v>13</v>
      </c>
      <c r="G39" s="2" t="s">
        <v>14</v>
      </c>
      <c r="H39" t="s">
        <v>15</v>
      </c>
      <c r="I39" t="s">
        <v>16</v>
      </c>
      <c r="J39" t="s">
        <v>17</v>
      </c>
      <c r="K39" t="s">
        <v>18</v>
      </c>
      <c r="L39">
        <v>40704379</v>
      </c>
      <c r="M39">
        <v>192783643.82600001</v>
      </c>
      <c r="N39" s="4">
        <f>M39/L39</f>
        <v>4.7361892887740655</v>
      </c>
    </row>
    <row r="40" spans="1:14" x14ac:dyDescent="0.2">
      <c r="A40" t="s">
        <v>10</v>
      </c>
      <c r="B40">
        <v>20080301</v>
      </c>
      <c r="C40">
        <v>20080501</v>
      </c>
      <c r="D40" t="s">
        <v>11</v>
      </c>
      <c r="E40" t="s">
        <v>12</v>
      </c>
      <c r="F40" t="s">
        <v>13</v>
      </c>
      <c r="G40" s="2" t="s">
        <v>14</v>
      </c>
      <c r="H40" t="s">
        <v>15</v>
      </c>
      <c r="I40" t="s">
        <v>16</v>
      </c>
      <c r="J40" t="s">
        <v>17</v>
      </c>
      <c r="K40" t="s">
        <v>18</v>
      </c>
      <c r="L40">
        <v>40682586</v>
      </c>
      <c r="M40">
        <v>212520269.91499999</v>
      </c>
      <c r="N40" s="4">
        <f>M40/L40</f>
        <v>5.2238633481903038</v>
      </c>
    </row>
    <row r="41" spans="1:14" x14ac:dyDescent="0.2">
      <c r="A41" t="s">
        <v>10</v>
      </c>
      <c r="B41">
        <v>20080401</v>
      </c>
      <c r="C41">
        <v>20080601</v>
      </c>
      <c r="D41" t="s">
        <v>11</v>
      </c>
      <c r="E41" t="s">
        <v>12</v>
      </c>
      <c r="F41" t="s">
        <v>13</v>
      </c>
      <c r="G41" s="2" t="s">
        <v>14</v>
      </c>
      <c r="H41" t="s">
        <v>15</v>
      </c>
      <c r="I41" t="s">
        <v>16</v>
      </c>
      <c r="J41" t="s">
        <v>17</v>
      </c>
      <c r="K41" t="s">
        <v>18</v>
      </c>
      <c r="L41">
        <v>40109946</v>
      </c>
      <c r="M41">
        <v>205398205.491</v>
      </c>
      <c r="N41" s="4">
        <f>M41/L41</f>
        <v>5.1208796314759439</v>
      </c>
    </row>
    <row r="42" spans="1:14" x14ac:dyDescent="0.2">
      <c r="A42" t="s">
        <v>10</v>
      </c>
      <c r="B42">
        <v>20080501</v>
      </c>
      <c r="C42">
        <v>20080701</v>
      </c>
      <c r="D42" t="s">
        <v>11</v>
      </c>
      <c r="E42" t="s">
        <v>12</v>
      </c>
      <c r="F42" t="s">
        <v>13</v>
      </c>
      <c r="G42" s="2" t="s">
        <v>14</v>
      </c>
      <c r="H42" t="s">
        <v>15</v>
      </c>
      <c r="I42" t="s">
        <v>16</v>
      </c>
      <c r="J42" t="s">
        <v>17</v>
      </c>
      <c r="K42" t="s">
        <v>18</v>
      </c>
      <c r="L42">
        <v>44593989</v>
      </c>
      <c r="M42">
        <v>236900787</v>
      </c>
      <c r="N42" s="4">
        <f>M42/L42</f>
        <v>5.3123928204763207</v>
      </c>
    </row>
    <row r="43" spans="1:14" x14ac:dyDescent="0.2">
      <c r="A43" t="s">
        <v>10</v>
      </c>
      <c r="B43">
        <v>20080601</v>
      </c>
      <c r="C43">
        <v>20080801</v>
      </c>
      <c r="D43" t="s">
        <v>11</v>
      </c>
      <c r="E43" t="s">
        <v>12</v>
      </c>
      <c r="F43" t="s">
        <v>13</v>
      </c>
      <c r="G43" s="2" t="s">
        <v>14</v>
      </c>
      <c r="H43" t="s">
        <v>15</v>
      </c>
      <c r="I43" t="s">
        <v>16</v>
      </c>
      <c r="J43" t="s">
        <v>17</v>
      </c>
      <c r="K43" t="s">
        <v>18</v>
      </c>
      <c r="L43">
        <v>41050761</v>
      </c>
      <c r="M43">
        <v>211447611.31299999</v>
      </c>
      <c r="N43" s="4">
        <f>M43/L43</f>
        <v>5.1508816441429675</v>
      </c>
    </row>
    <row r="44" spans="1:14" x14ac:dyDescent="0.2">
      <c r="A44" t="s">
        <v>10</v>
      </c>
      <c r="B44">
        <v>20080701</v>
      </c>
      <c r="C44">
        <v>20080901</v>
      </c>
      <c r="D44" t="s">
        <v>11</v>
      </c>
      <c r="E44" t="s">
        <v>12</v>
      </c>
      <c r="F44" t="s">
        <v>13</v>
      </c>
      <c r="G44" s="2" t="s">
        <v>14</v>
      </c>
      <c r="H44" t="s">
        <v>15</v>
      </c>
      <c r="I44" t="s">
        <v>16</v>
      </c>
      <c r="J44" t="s">
        <v>17</v>
      </c>
      <c r="K44" t="s">
        <v>18</v>
      </c>
      <c r="L44">
        <v>39540932</v>
      </c>
      <c r="M44">
        <v>222405826</v>
      </c>
      <c r="N44" s="4">
        <f>M44/L44</f>
        <v>5.6246986287526051</v>
      </c>
    </row>
    <row r="45" spans="1:14" x14ac:dyDescent="0.2">
      <c r="A45" t="s">
        <v>10</v>
      </c>
      <c r="B45">
        <v>20080801</v>
      </c>
      <c r="C45">
        <v>20081001</v>
      </c>
      <c r="D45" t="s">
        <v>11</v>
      </c>
      <c r="E45" t="s">
        <v>12</v>
      </c>
      <c r="F45" t="s">
        <v>13</v>
      </c>
      <c r="G45" s="2" t="s">
        <v>14</v>
      </c>
      <c r="H45" t="s">
        <v>15</v>
      </c>
      <c r="I45" t="s">
        <v>16</v>
      </c>
      <c r="J45" t="s">
        <v>17</v>
      </c>
      <c r="K45" t="s">
        <v>18</v>
      </c>
      <c r="L45">
        <v>37815936</v>
      </c>
      <c r="M45">
        <v>202942113.22</v>
      </c>
      <c r="N45" s="4">
        <f>M45/L45</f>
        <v>5.3665764935713876</v>
      </c>
    </row>
    <row r="46" spans="1:14" x14ac:dyDescent="0.2">
      <c r="A46" t="s">
        <v>10</v>
      </c>
      <c r="B46">
        <v>20080901</v>
      </c>
      <c r="C46">
        <v>20081101</v>
      </c>
      <c r="D46" t="s">
        <v>11</v>
      </c>
      <c r="E46" t="s">
        <v>12</v>
      </c>
      <c r="F46" t="s">
        <v>13</v>
      </c>
      <c r="G46" s="2" t="s">
        <v>14</v>
      </c>
      <c r="H46" t="s">
        <v>15</v>
      </c>
      <c r="I46" t="s">
        <v>16</v>
      </c>
      <c r="J46" t="s">
        <v>17</v>
      </c>
      <c r="K46" t="s">
        <v>18</v>
      </c>
      <c r="L46">
        <v>41773399</v>
      </c>
      <c r="M46">
        <v>207063689.93700001</v>
      </c>
      <c r="N46" s="4">
        <f>M46/L46</f>
        <v>4.9568312585001761</v>
      </c>
    </row>
    <row r="47" spans="1:14" x14ac:dyDescent="0.2">
      <c r="A47" t="s">
        <v>10</v>
      </c>
      <c r="B47">
        <v>20081001</v>
      </c>
      <c r="C47">
        <v>20081201</v>
      </c>
      <c r="D47" t="s">
        <v>11</v>
      </c>
      <c r="E47" t="s">
        <v>12</v>
      </c>
      <c r="F47" t="s">
        <v>13</v>
      </c>
      <c r="G47" s="2" t="s">
        <v>14</v>
      </c>
      <c r="H47" t="s">
        <v>15</v>
      </c>
      <c r="I47" t="s">
        <v>16</v>
      </c>
      <c r="J47" t="s">
        <v>17</v>
      </c>
      <c r="K47" t="s">
        <v>18</v>
      </c>
      <c r="L47">
        <v>48146907</v>
      </c>
      <c r="M47">
        <v>200125937.141</v>
      </c>
      <c r="N47" s="4">
        <f>M47/L47</f>
        <v>4.1565689181446279</v>
      </c>
    </row>
    <row r="48" spans="1:14" x14ac:dyDescent="0.2">
      <c r="A48" t="s">
        <v>10</v>
      </c>
      <c r="B48">
        <v>20081101</v>
      </c>
      <c r="C48">
        <v>20090101</v>
      </c>
      <c r="D48" t="s">
        <v>11</v>
      </c>
      <c r="E48" t="s">
        <v>12</v>
      </c>
      <c r="F48" t="s">
        <v>13</v>
      </c>
      <c r="G48" s="2" t="s">
        <v>14</v>
      </c>
      <c r="H48" t="s">
        <v>15</v>
      </c>
      <c r="I48" t="s">
        <v>16</v>
      </c>
      <c r="J48" t="s">
        <v>17</v>
      </c>
      <c r="K48" t="s">
        <v>18</v>
      </c>
      <c r="L48">
        <v>48896061</v>
      </c>
      <c r="M48">
        <v>186704409.067</v>
      </c>
      <c r="N48" s="4">
        <f>M48/L48</f>
        <v>3.8183936547976738</v>
      </c>
    </row>
    <row r="49" spans="1:14" x14ac:dyDescent="0.2">
      <c r="A49" t="s">
        <v>10</v>
      </c>
      <c r="B49">
        <v>20081201</v>
      </c>
      <c r="C49">
        <v>20090201</v>
      </c>
      <c r="D49" t="s">
        <v>11</v>
      </c>
      <c r="E49" t="s">
        <v>12</v>
      </c>
      <c r="F49" t="s">
        <v>13</v>
      </c>
      <c r="G49" s="2" t="s">
        <v>14</v>
      </c>
      <c r="H49" t="s">
        <v>15</v>
      </c>
      <c r="I49" t="s">
        <v>16</v>
      </c>
      <c r="J49" t="s">
        <v>17</v>
      </c>
      <c r="K49" t="s">
        <v>18</v>
      </c>
      <c r="L49">
        <v>51420069</v>
      </c>
      <c r="M49">
        <v>200629029.69499999</v>
      </c>
      <c r="N49" s="4">
        <f>M49/L49</f>
        <v>3.9017650811592648</v>
      </c>
    </row>
    <row r="50" spans="1:14" x14ac:dyDescent="0.2">
      <c r="A50" t="s">
        <v>10</v>
      </c>
      <c r="B50">
        <v>20090101</v>
      </c>
      <c r="C50">
        <v>20090301</v>
      </c>
      <c r="D50" t="s">
        <v>11</v>
      </c>
      <c r="E50" t="s">
        <v>12</v>
      </c>
      <c r="F50" t="s">
        <v>13</v>
      </c>
      <c r="G50" s="2" t="s">
        <v>14</v>
      </c>
      <c r="H50" t="s">
        <v>15</v>
      </c>
      <c r="I50" t="s">
        <v>16</v>
      </c>
      <c r="J50" t="s">
        <v>17</v>
      </c>
      <c r="K50" t="s">
        <v>18</v>
      </c>
      <c r="L50">
        <v>42056331</v>
      </c>
      <c r="M50">
        <v>173072988.917</v>
      </c>
      <c r="N50" s="4">
        <f>M50/L50</f>
        <v>4.1152659968602583</v>
      </c>
    </row>
    <row r="51" spans="1:14" x14ac:dyDescent="0.2">
      <c r="A51" t="s">
        <v>10</v>
      </c>
      <c r="B51">
        <v>20090201</v>
      </c>
      <c r="C51">
        <v>20090401</v>
      </c>
      <c r="D51" t="s">
        <v>11</v>
      </c>
      <c r="E51" t="s">
        <v>12</v>
      </c>
      <c r="F51" t="s">
        <v>13</v>
      </c>
      <c r="G51" s="2" t="s">
        <v>14</v>
      </c>
      <c r="H51" t="s">
        <v>15</v>
      </c>
      <c r="I51" t="s">
        <v>16</v>
      </c>
      <c r="J51" t="s">
        <v>17</v>
      </c>
      <c r="K51" t="s">
        <v>18</v>
      </c>
      <c r="L51">
        <v>36533523</v>
      </c>
      <c r="M51">
        <v>150547493.45899999</v>
      </c>
      <c r="N51" s="4">
        <f>M51/L51</f>
        <v>4.1208041572941099</v>
      </c>
    </row>
    <row r="52" spans="1:14" x14ac:dyDescent="0.2">
      <c r="A52" t="s">
        <v>10</v>
      </c>
      <c r="B52">
        <v>20090301</v>
      </c>
      <c r="C52">
        <v>20090501</v>
      </c>
      <c r="D52" t="s">
        <v>11</v>
      </c>
      <c r="E52" t="s">
        <v>12</v>
      </c>
      <c r="F52" t="s">
        <v>13</v>
      </c>
      <c r="G52" s="2" t="s">
        <v>14</v>
      </c>
      <c r="H52" t="s">
        <v>15</v>
      </c>
      <c r="I52" t="s">
        <v>16</v>
      </c>
      <c r="J52" t="s">
        <v>17</v>
      </c>
      <c r="K52" t="s">
        <v>18</v>
      </c>
      <c r="L52">
        <v>44835346</v>
      </c>
      <c r="M52">
        <v>200693084.685</v>
      </c>
      <c r="N52" s="4">
        <f>M52/L52</f>
        <v>4.476224733160306</v>
      </c>
    </row>
    <row r="53" spans="1:14" x14ac:dyDescent="0.2">
      <c r="A53" t="s">
        <v>10</v>
      </c>
      <c r="B53">
        <v>20090401</v>
      </c>
      <c r="C53">
        <v>20090601</v>
      </c>
      <c r="D53" t="s">
        <v>11</v>
      </c>
      <c r="E53" t="s">
        <v>12</v>
      </c>
      <c r="F53" t="s">
        <v>13</v>
      </c>
      <c r="G53" s="2" t="s">
        <v>14</v>
      </c>
      <c r="H53" t="s">
        <v>15</v>
      </c>
      <c r="I53" t="s">
        <v>16</v>
      </c>
      <c r="J53" t="s">
        <v>17</v>
      </c>
      <c r="K53" t="s">
        <v>18</v>
      </c>
      <c r="L53">
        <v>44549162</v>
      </c>
      <c r="M53">
        <v>213599730.708</v>
      </c>
      <c r="N53" s="4">
        <f>M53/L53</f>
        <v>4.7946969397089898</v>
      </c>
    </row>
    <row r="54" spans="1:14" x14ac:dyDescent="0.2">
      <c r="A54" t="s">
        <v>10</v>
      </c>
      <c r="B54">
        <v>20090501</v>
      </c>
      <c r="C54">
        <v>20090701</v>
      </c>
      <c r="D54" t="s">
        <v>11</v>
      </c>
      <c r="E54" t="s">
        <v>12</v>
      </c>
      <c r="F54" t="s">
        <v>13</v>
      </c>
      <c r="G54" s="2" t="s">
        <v>14</v>
      </c>
      <c r="H54" t="s">
        <v>15</v>
      </c>
      <c r="I54" t="s">
        <v>16</v>
      </c>
      <c r="J54" t="s">
        <v>17</v>
      </c>
      <c r="K54" t="s">
        <v>18</v>
      </c>
      <c r="L54">
        <v>44076491</v>
      </c>
      <c r="M54">
        <v>239825384.52000001</v>
      </c>
      <c r="N54" s="4">
        <f>M54/L54</f>
        <v>5.4411179084106314</v>
      </c>
    </row>
    <row r="55" spans="1:14" x14ac:dyDescent="0.2">
      <c r="A55" t="s">
        <v>10</v>
      </c>
      <c r="B55">
        <v>20090601</v>
      </c>
      <c r="C55">
        <v>20090801</v>
      </c>
      <c r="D55" t="s">
        <v>11</v>
      </c>
      <c r="E55" t="s">
        <v>12</v>
      </c>
      <c r="F55" t="s">
        <v>13</v>
      </c>
      <c r="G55" s="2" t="s">
        <v>14</v>
      </c>
      <c r="H55" t="s">
        <v>15</v>
      </c>
      <c r="I55" t="s">
        <v>16</v>
      </c>
      <c r="J55" t="s">
        <v>17</v>
      </c>
      <c r="K55" t="s">
        <v>18</v>
      </c>
      <c r="L55">
        <v>43961907</v>
      </c>
      <c r="M55">
        <v>242800231.30500001</v>
      </c>
      <c r="N55" s="4">
        <f>M55/L55</f>
        <v>5.522968585166244</v>
      </c>
    </row>
    <row r="56" spans="1:14" x14ac:dyDescent="0.2">
      <c r="A56" t="s">
        <v>10</v>
      </c>
      <c r="B56">
        <v>20090701</v>
      </c>
      <c r="C56">
        <v>20090901</v>
      </c>
      <c r="D56" t="s">
        <v>11</v>
      </c>
      <c r="E56" t="s">
        <v>12</v>
      </c>
      <c r="F56" t="s">
        <v>13</v>
      </c>
      <c r="G56" s="2" t="s">
        <v>14</v>
      </c>
      <c r="H56" t="s">
        <v>15</v>
      </c>
      <c r="I56" t="s">
        <v>16</v>
      </c>
      <c r="J56" t="s">
        <v>17</v>
      </c>
      <c r="K56" t="s">
        <v>18</v>
      </c>
      <c r="L56">
        <v>45173434</v>
      </c>
      <c r="M56">
        <v>261254096.546</v>
      </c>
      <c r="N56" s="4">
        <f>M56/L56</f>
        <v>5.7833570178879912</v>
      </c>
    </row>
    <row r="57" spans="1:14" x14ac:dyDescent="0.2">
      <c r="A57" t="s">
        <v>10</v>
      </c>
      <c r="B57">
        <v>20090801</v>
      </c>
      <c r="C57">
        <v>20091001</v>
      </c>
      <c r="D57" t="s">
        <v>11</v>
      </c>
      <c r="E57" t="s">
        <v>12</v>
      </c>
      <c r="F57" t="s">
        <v>13</v>
      </c>
      <c r="G57" s="2" t="s">
        <v>14</v>
      </c>
      <c r="H57" t="s">
        <v>15</v>
      </c>
      <c r="I57" t="s">
        <v>16</v>
      </c>
      <c r="J57" t="s">
        <v>17</v>
      </c>
      <c r="K57" t="s">
        <v>18</v>
      </c>
      <c r="L57">
        <v>45348983</v>
      </c>
      <c r="M57">
        <v>226420292.23899999</v>
      </c>
      <c r="N57" s="4">
        <f>M57/L57</f>
        <v>4.9928416749500206</v>
      </c>
    </row>
    <row r="58" spans="1:14" x14ac:dyDescent="0.2">
      <c r="A58" t="s">
        <v>10</v>
      </c>
      <c r="B58">
        <v>20090901</v>
      </c>
      <c r="C58">
        <v>20091101</v>
      </c>
      <c r="D58" t="s">
        <v>11</v>
      </c>
      <c r="E58" t="s">
        <v>12</v>
      </c>
      <c r="F58" t="s">
        <v>13</v>
      </c>
      <c r="G58" s="2" t="s">
        <v>14</v>
      </c>
      <c r="H58" t="s">
        <v>15</v>
      </c>
      <c r="I58" t="s">
        <v>16</v>
      </c>
      <c r="J58" t="s">
        <v>17</v>
      </c>
      <c r="K58" t="s">
        <v>18</v>
      </c>
      <c r="L58">
        <v>50654193</v>
      </c>
      <c r="M58">
        <v>253470021.06999999</v>
      </c>
      <c r="N58" s="4">
        <f>M58/L58</f>
        <v>5.0039297056810277</v>
      </c>
    </row>
    <row r="59" spans="1:14" x14ac:dyDescent="0.2">
      <c r="A59" t="s">
        <v>10</v>
      </c>
      <c r="B59">
        <v>20091001</v>
      </c>
      <c r="C59">
        <v>20091201</v>
      </c>
      <c r="D59" t="s">
        <v>11</v>
      </c>
      <c r="E59" t="s">
        <v>12</v>
      </c>
      <c r="F59" t="s">
        <v>13</v>
      </c>
      <c r="G59" s="2" t="s">
        <v>14</v>
      </c>
      <c r="H59" t="s">
        <v>15</v>
      </c>
      <c r="I59" t="s">
        <v>16</v>
      </c>
      <c r="J59" t="s">
        <v>17</v>
      </c>
      <c r="K59" t="s">
        <v>18</v>
      </c>
      <c r="L59">
        <v>55795374</v>
      </c>
      <c r="M59">
        <v>269610019.52499998</v>
      </c>
      <c r="N59" s="4">
        <f>M59/L59</f>
        <v>4.8321213784676837</v>
      </c>
    </row>
    <row r="60" spans="1:14" x14ac:dyDescent="0.2">
      <c r="A60" t="s">
        <v>10</v>
      </c>
      <c r="B60">
        <v>20091101</v>
      </c>
      <c r="C60">
        <v>20100101</v>
      </c>
      <c r="D60" t="s">
        <v>11</v>
      </c>
      <c r="E60" t="s">
        <v>12</v>
      </c>
      <c r="F60" t="s">
        <v>13</v>
      </c>
      <c r="G60" s="2" t="s">
        <v>14</v>
      </c>
      <c r="H60" t="s">
        <v>15</v>
      </c>
      <c r="I60" t="s">
        <v>16</v>
      </c>
      <c r="J60" t="s">
        <v>17</v>
      </c>
      <c r="K60" t="s">
        <v>18</v>
      </c>
      <c r="L60">
        <v>54863547</v>
      </c>
      <c r="M60">
        <v>274847740.43099999</v>
      </c>
      <c r="N60" s="4">
        <f>M60/L60</f>
        <v>5.0096604295562592</v>
      </c>
    </row>
    <row r="61" spans="1:14" x14ac:dyDescent="0.2">
      <c r="A61" t="s">
        <v>10</v>
      </c>
      <c r="B61">
        <v>20091201</v>
      </c>
      <c r="C61">
        <v>20100201</v>
      </c>
      <c r="D61" t="s">
        <v>11</v>
      </c>
      <c r="E61" t="s">
        <v>12</v>
      </c>
      <c r="F61" t="s">
        <v>13</v>
      </c>
      <c r="G61" s="2" t="s">
        <v>14</v>
      </c>
      <c r="H61" t="s">
        <v>15</v>
      </c>
      <c r="I61" t="s">
        <v>16</v>
      </c>
      <c r="J61" t="s">
        <v>17</v>
      </c>
      <c r="K61" t="s">
        <v>18</v>
      </c>
      <c r="L61">
        <v>62581044</v>
      </c>
      <c r="M61">
        <v>315373763.417</v>
      </c>
      <c r="N61" s="4">
        <f>M61/L61</f>
        <v>5.0394455454753997</v>
      </c>
    </row>
    <row r="62" spans="1:14" x14ac:dyDescent="0.2">
      <c r="A62" t="s">
        <v>10</v>
      </c>
      <c r="B62">
        <v>20100101</v>
      </c>
      <c r="C62">
        <v>20100301</v>
      </c>
      <c r="D62" t="s">
        <v>11</v>
      </c>
      <c r="E62" t="s">
        <v>12</v>
      </c>
      <c r="F62" t="s">
        <v>13</v>
      </c>
      <c r="G62" s="2" t="s">
        <v>14</v>
      </c>
      <c r="H62" t="s">
        <v>15</v>
      </c>
      <c r="I62" t="s">
        <v>16</v>
      </c>
      <c r="J62" t="s">
        <v>17</v>
      </c>
      <c r="K62" t="s">
        <v>18</v>
      </c>
      <c r="L62">
        <v>44037615</v>
      </c>
      <c r="M62">
        <v>224249132.639</v>
      </c>
      <c r="N62" s="4">
        <f>M62/L62</f>
        <v>5.0922179286730218</v>
      </c>
    </row>
    <row r="63" spans="1:14" x14ac:dyDescent="0.2">
      <c r="A63" t="s">
        <v>10</v>
      </c>
      <c r="B63">
        <v>20100201</v>
      </c>
      <c r="C63">
        <v>20100401</v>
      </c>
      <c r="D63" t="s">
        <v>11</v>
      </c>
      <c r="E63" t="s">
        <v>12</v>
      </c>
      <c r="F63" t="s">
        <v>13</v>
      </c>
      <c r="G63" s="2" t="s">
        <v>14</v>
      </c>
      <c r="H63" t="s">
        <v>15</v>
      </c>
      <c r="I63" t="s">
        <v>16</v>
      </c>
      <c r="J63" t="s">
        <v>17</v>
      </c>
      <c r="K63" t="s">
        <v>18</v>
      </c>
      <c r="L63">
        <v>41539134</v>
      </c>
      <c r="M63">
        <v>236280374.73199999</v>
      </c>
      <c r="N63" s="4">
        <f>M63/L63</f>
        <v>5.6881391588953205</v>
      </c>
    </row>
    <row r="64" spans="1:14" x14ac:dyDescent="0.2">
      <c r="A64" t="s">
        <v>10</v>
      </c>
      <c r="B64">
        <v>20100301</v>
      </c>
      <c r="C64">
        <v>20100501</v>
      </c>
      <c r="D64" t="s">
        <v>11</v>
      </c>
      <c r="E64" t="s">
        <v>12</v>
      </c>
      <c r="F64" t="s">
        <v>13</v>
      </c>
      <c r="G64" s="2" t="s">
        <v>14</v>
      </c>
      <c r="H64" t="s">
        <v>15</v>
      </c>
      <c r="I64" t="s">
        <v>16</v>
      </c>
      <c r="J64" t="s">
        <v>17</v>
      </c>
      <c r="K64" t="s">
        <v>18</v>
      </c>
      <c r="L64">
        <v>53918994</v>
      </c>
      <c r="M64">
        <v>328364302.88499999</v>
      </c>
      <c r="N64" s="4">
        <f>M64/L64</f>
        <v>6.0899560345098429</v>
      </c>
    </row>
    <row r="65" spans="1:14" x14ac:dyDescent="0.2">
      <c r="A65" t="s">
        <v>10</v>
      </c>
      <c r="B65">
        <v>20100401</v>
      </c>
      <c r="C65">
        <v>20100601</v>
      </c>
      <c r="D65" t="s">
        <v>11</v>
      </c>
      <c r="E65" t="s">
        <v>12</v>
      </c>
      <c r="F65" t="s">
        <v>13</v>
      </c>
      <c r="G65" s="2" t="s">
        <v>14</v>
      </c>
      <c r="H65" t="s">
        <v>15</v>
      </c>
      <c r="I65" t="s">
        <v>16</v>
      </c>
      <c r="J65" t="s">
        <v>17</v>
      </c>
      <c r="K65" t="s">
        <v>18</v>
      </c>
      <c r="L65">
        <v>43117185</v>
      </c>
      <c r="M65">
        <v>282823422.07300001</v>
      </c>
      <c r="N65" s="4">
        <f>M65/L65</f>
        <v>6.559412959658661</v>
      </c>
    </row>
    <row r="66" spans="1:14" x14ac:dyDescent="0.2">
      <c r="A66" t="s">
        <v>10</v>
      </c>
      <c r="B66">
        <v>20100501</v>
      </c>
      <c r="C66">
        <v>20100701</v>
      </c>
      <c r="D66" t="s">
        <v>11</v>
      </c>
      <c r="E66" t="s">
        <v>12</v>
      </c>
      <c r="F66" t="s">
        <v>13</v>
      </c>
      <c r="G66" s="2" t="s">
        <v>14</v>
      </c>
      <c r="H66" t="s">
        <v>15</v>
      </c>
      <c r="I66" t="s">
        <v>16</v>
      </c>
      <c r="J66" t="s">
        <v>17</v>
      </c>
      <c r="K66" t="s">
        <v>18</v>
      </c>
      <c r="L66">
        <v>46042182</v>
      </c>
      <c r="M66">
        <v>292687557.35600001</v>
      </c>
      <c r="N66" s="4">
        <f>M66/L66</f>
        <v>6.3569436686558429</v>
      </c>
    </row>
    <row r="67" spans="1:14" x14ac:dyDescent="0.2">
      <c r="A67" t="s">
        <v>10</v>
      </c>
      <c r="B67">
        <v>20100601</v>
      </c>
      <c r="C67">
        <v>20100801</v>
      </c>
      <c r="D67" t="s">
        <v>11</v>
      </c>
      <c r="E67" t="s">
        <v>12</v>
      </c>
      <c r="F67" t="s">
        <v>13</v>
      </c>
      <c r="G67" s="2" t="s">
        <v>14</v>
      </c>
      <c r="H67" t="s">
        <v>15</v>
      </c>
      <c r="I67" t="s">
        <v>16</v>
      </c>
      <c r="J67" t="s">
        <v>17</v>
      </c>
      <c r="K67" t="s">
        <v>18</v>
      </c>
      <c r="L67">
        <v>52210645</v>
      </c>
      <c r="M67">
        <v>310461937.64600003</v>
      </c>
      <c r="N67" s="4">
        <f>M67/L67</f>
        <v>5.9463340789220291</v>
      </c>
    </row>
    <row r="68" spans="1:14" x14ac:dyDescent="0.2">
      <c r="A68" t="s">
        <v>10</v>
      </c>
      <c r="B68">
        <v>20100701</v>
      </c>
      <c r="C68">
        <v>20100901</v>
      </c>
      <c r="D68" t="s">
        <v>11</v>
      </c>
      <c r="E68" t="s">
        <v>12</v>
      </c>
      <c r="F68" t="s">
        <v>13</v>
      </c>
      <c r="G68" s="2" t="s">
        <v>14</v>
      </c>
      <c r="H68" t="s">
        <v>15</v>
      </c>
      <c r="I68" t="s">
        <v>16</v>
      </c>
      <c r="J68" t="s">
        <v>17</v>
      </c>
      <c r="K68" t="s">
        <v>18</v>
      </c>
      <c r="L68">
        <v>50259750</v>
      </c>
      <c r="M68">
        <v>315610175.417</v>
      </c>
      <c r="N68" s="4">
        <f>M68/L68</f>
        <v>6.279581084605474</v>
      </c>
    </row>
    <row r="69" spans="1:14" x14ac:dyDescent="0.2">
      <c r="A69" t="s">
        <v>10</v>
      </c>
      <c r="B69">
        <v>20100801</v>
      </c>
      <c r="C69">
        <v>20101001</v>
      </c>
      <c r="D69" t="s">
        <v>11</v>
      </c>
      <c r="E69" t="s">
        <v>12</v>
      </c>
      <c r="F69" t="s">
        <v>13</v>
      </c>
      <c r="G69" s="2" t="s">
        <v>14</v>
      </c>
      <c r="H69" t="s">
        <v>15</v>
      </c>
      <c r="I69" t="s">
        <v>16</v>
      </c>
      <c r="J69" t="s">
        <v>17</v>
      </c>
      <c r="K69" t="s">
        <v>18</v>
      </c>
      <c r="L69">
        <v>46081911</v>
      </c>
      <c r="M69">
        <v>298004320.85600001</v>
      </c>
      <c r="N69" s="4">
        <f>M69/L69</f>
        <v>6.4668394688753255</v>
      </c>
    </row>
    <row r="70" spans="1:14" x14ac:dyDescent="0.2">
      <c r="A70" t="s">
        <v>10</v>
      </c>
      <c r="B70">
        <v>20100901</v>
      </c>
      <c r="C70">
        <v>20101101</v>
      </c>
      <c r="D70" t="s">
        <v>11</v>
      </c>
      <c r="E70" t="s">
        <v>12</v>
      </c>
      <c r="F70" t="s">
        <v>13</v>
      </c>
      <c r="G70" s="2" t="s">
        <v>14</v>
      </c>
      <c r="H70" t="s">
        <v>15</v>
      </c>
      <c r="I70" t="s">
        <v>16</v>
      </c>
      <c r="J70" t="s">
        <v>17</v>
      </c>
      <c r="K70" t="s">
        <v>18</v>
      </c>
      <c r="L70">
        <v>56608772</v>
      </c>
      <c r="M70">
        <v>348444218.13999999</v>
      </c>
      <c r="N70" s="4">
        <f>M70/L70</f>
        <v>6.1553043076080147</v>
      </c>
    </row>
    <row r="71" spans="1:14" x14ac:dyDescent="0.2">
      <c r="A71" t="s">
        <v>10</v>
      </c>
      <c r="B71">
        <v>20101001</v>
      </c>
      <c r="C71">
        <v>20101201</v>
      </c>
      <c r="D71" t="s">
        <v>11</v>
      </c>
      <c r="E71" t="s">
        <v>12</v>
      </c>
      <c r="F71" t="s">
        <v>13</v>
      </c>
      <c r="G71" s="2" t="s">
        <v>14</v>
      </c>
      <c r="H71" t="s">
        <v>15</v>
      </c>
      <c r="I71" t="s">
        <v>16</v>
      </c>
      <c r="J71" t="s">
        <v>17</v>
      </c>
      <c r="K71" t="s">
        <v>18</v>
      </c>
      <c r="L71">
        <v>59214295</v>
      </c>
      <c r="M71">
        <v>373227363.07300001</v>
      </c>
      <c r="N71" s="4">
        <f>M71/L71</f>
        <v>6.3029942866498709</v>
      </c>
    </row>
    <row r="72" spans="1:14" x14ac:dyDescent="0.2">
      <c r="A72" t="s">
        <v>10</v>
      </c>
      <c r="B72">
        <v>20101101</v>
      </c>
      <c r="C72">
        <v>20110101</v>
      </c>
      <c r="D72" t="s">
        <v>11</v>
      </c>
      <c r="E72" t="s">
        <v>12</v>
      </c>
      <c r="F72" t="s">
        <v>13</v>
      </c>
      <c r="G72" s="2" t="s">
        <v>14</v>
      </c>
      <c r="H72" t="s">
        <v>15</v>
      </c>
      <c r="I72" t="s">
        <v>16</v>
      </c>
      <c r="J72" t="s">
        <v>17</v>
      </c>
      <c r="K72" t="s">
        <v>18</v>
      </c>
      <c r="L72">
        <v>60922087</v>
      </c>
      <c r="M72">
        <v>368593591.36199999</v>
      </c>
      <c r="N72" s="4">
        <f>M72/L72</f>
        <v>6.0502456418146018</v>
      </c>
    </row>
    <row r="73" spans="1:14" x14ac:dyDescent="0.2">
      <c r="A73" t="s">
        <v>10</v>
      </c>
      <c r="B73">
        <v>20101201</v>
      </c>
      <c r="C73">
        <v>20110201</v>
      </c>
      <c r="D73" t="s">
        <v>11</v>
      </c>
      <c r="E73" t="s">
        <v>12</v>
      </c>
      <c r="F73" t="s">
        <v>13</v>
      </c>
      <c r="G73" s="2" t="s">
        <v>14</v>
      </c>
      <c r="H73" t="s">
        <v>15</v>
      </c>
      <c r="I73" t="s">
        <v>16</v>
      </c>
      <c r="J73" t="s">
        <v>17</v>
      </c>
      <c r="K73" t="s">
        <v>18</v>
      </c>
      <c r="L73">
        <v>64077320</v>
      </c>
      <c r="M73">
        <v>451344785.02700001</v>
      </c>
      <c r="N73" s="4">
        <f>M73/L73</f>
        <v>7.0437525325185266</v>
      </c>
    </row>
    <row r="74" spans="1:14" x14ac:dyDescent="0.2">
      <c r="A74" t="s">
        <v>10</v>
      </c>
      <c r="B74">
        <v>20110101</v>
      </c>
      <c r="C74">
        <v>20110301</v>
      </c>
      <c r="D74" t="s">
        <v>11</v>
      </c>
      <c r="E74" t="s">
        <v>12</v>
      </c>
      <c r="F74" t="s">
        <v>13</v>
      </c>
      <c r="G74" s="2" t="s">
        <v>14</v>
      </c>
      <c r="H74" t="s">
        <v>15</v>
      </c>
      <c r="I74" t="s">
        <v>16</v>
      </c>
      <c r="J74" t="s">
        <v>17</v>
      </c>
      <c r="K74" t="s">
        <v>18</v>
      </c>
      <c r="L74">
        <v>44367613</v>
      </c>
      <c r="M74">
        <v>299397808.97799999</v>
      </c>
      <c r="N74" s="4">
        <f>M74/L74</f>
        <v>6.7481162211273338</v>
      </c>
    </row>
    <row r="75" spans="1:14" x14ac:dyDescent="0.2">
      <c r="A75" t="s">
        <v>10</v>
      </c>
      <c r="B75">
        <v>20110201</v>
      </c>
      <c r="C75">
        <v>20110401</v>
      </c>
      <c r="D75" t="s">
        <v>11</v>
      </c>
      <c r="E75" t="s">
        <v>12</v>
      </c>
      <c r="F75" t="s">
        <v>13</v>
      </c>
      <c r="G75" s="2" t="s">
        <v>14</v>
      </c>
      <c r="H75" t="s">
        <v>15</v>
      </c>
      <c r="I75" t="s">
        <v>16</v>
      </c>
      <c r="J75" t="s">
        <v>17</v>
      </c>
      <c r="K75" t="s">
        <v>18</v>
      </c>
      <c r="L75">
        <v>42709081</v>
      </c>
      <c r="M75">
        <v>302531127.53899997</v>
      </c>
      <c r="N75" s="4">
        <f>M75/L75</f>
        <v>7.0835316624818025</v>
      </c>
    </row>
    <row r="76" spans="1:14" x14ac:dyDescent="0.2">
      <c r="A76" t="s">
        <v>10</v>
      </c>
      <c r="B76">
        <v>20110301</v>
      </c>
      <c r="C76">
        <v>20110501</v>
      </c>
      <c r="D76" t="s">
        <v>11</v>
      </c>
      <c r="E76" t="s">
        <v>12</v>
      </c>
      <c r="F76" t="s">
        <v>13</v>
      </c>
      <c r="G76" s="2" t="s">
        <v>14</v>
      </c>
      <c r="H76" t="s">
        <v>15</v>
      </c>
      <c r="I76" t="s">
        <v>16</v>
      </c>
      <c r="J76" t="s">
        <v>17</v>
      </c>
      <c r="K76" t="s">
        <v>18</v>
      </c>
      <c r="L76">
        <v>53152778</v>
      </c>
      <c r="M76">
        <v>386945832.72299999</v>
      </c>
      <c r="N76" s="4">
        <f>M76/L76</f>
        <v>7.2798797594925331</v>
      </c>
    </row>
    <row r="77" spans="1:14" x14ac:dyDescent="0.2">
      <c r="A77" t="s">
        <v>10</v>
      </c>
      <c r="B77">
        <v>20110401</v>
      </c>
      <c r="C77">
        <v>20110601</v>
      </c>
      <c r="D77" t="s">
        <v>11</v>
      </c>
      <c r="E77" t="s">
        <v>12</v>
      </c>
      <c r="F77" t="s">
        <v>13</v>
      </c>
      <c r="G77" s="2" t="s">
        <v>14</v>
      </c>
      <c r="H77" t="s">
        <v>15</v>
      </c>
      <c r="I77" t="s">
        <v>16</v>
      </c>
      <c r="J77" t="s">
        <v>17</v>
      </c>
      <c r="K77" t="s">
        <v>18</v>
      </c>
      <c r="L77">
        <v>47367272</v>
      </c>
      <c r="M77">
        <v>374303629.78399998</v>
      </c>
      <c r="N77" s="4">
        <f>M77/L77</f>
        <v>7.9021572064357004</v>
      </c>
    </row>
    <row r="78" spans="1:14" x14ac:dyDescent="0.2">
      <c r="A78" t="s">
        <v>10</v>
      </c>
      <c r="B78">
        <v>20110501</v>
      </c>
      <c r="C78">
        <v>20110701</v>
      </c>
      <c r="D78" t="s">
        <v>11</v>
      </c>
      <c r="E78" t="s">
        <v>12</v>
      </c>
      <c r="F78" t="s">
        <v>13</v>
      </c>
      <c r="G78" s="2" t="s">
        <v>14</v>
      </c>
      <c r="H78" t="s">
        <v>15</v>
      </c>
      <c r="I78" t="s">
        <v>16</v>
      </c>
      <c r="J78" t="s">
        <v>17</v>
      </c>
      <c r="K78" t="s">
        <v>18</v>
      </c>
      <c r="L78">
        <v>50583984</v>
      </c>
      <c r="M78">
        <v>363957757.31</v>
      </c>
      <c r="N78" s="4">
        <f>M78/L78</f>
        <v>7.1951184649670932</v>
      </c>
    </row>
    <row r="79" spans="1:14" x14ac:dyDescent="0.2">
      <c r="A79" t="s">
        <v>10</v>
      </c>
      <c r="B79">
        <v>20110601</v>
      </c>
      <c r="C79">
        <v>20110801</v>
      </c>
      <c r="D79" t="s">
        <v>11</v>
      </c>
      <c r="E79" t="s">
        <v>12</v>
      </c>
      <c r="F79" t="s">
        <v>13</v>
      </c>
      <c r="G79" s="2" t="s">
        <v>14</v>
      </c>
      <c r="H79" t="s">
        <v>15</v>
      </c>
      <c r="I79" t="s">
        <v>16</v>
      </c>
      <c r="J79" t="s">
        <v>17</v>
      </c>
      <c r="K79" t="s">
        <v>18</v>
      </c>
      <c r="L79">
        <v>53967864</v>
      </c>
      <c r="M79">
        <v>324534066.09899998</v>
      </c>
      <c r="N79" s="4">
        <f>M79/L79</f>
        <v>6.0134687950406924</v>
      </c>
    </row>
    <row r="80" spans="1:14" x14ac:dyDescent="0.2">
      <c r="A80" t="s">
        <v>10</v>
      </c>
      <c r="B80">
        <v>20110701</v>
      </c>
      <c r="C80">
        <v>20110901</v>
      </c>
      <c r="D80" t="s">
        <v>11</v>
      </c>
      <c r="E80" t="s">
        <v>12</v>
      </c>
      <c r="F80" t="s">
        <v>13</v>
      </c>
      <c r="G80" s="2" t="s">
        <v>14</v>
      </c>
      <c r="H80" t="s">
        <v>15</v>
      </c>
      <c r="I80" t="s">
        <v>16</v>
      </c>
      <c r="J80" t="s">
        <v>17</v>
      </c>
      <c r="K80" t="s">
        <v>18</v>
      </c>
      <c r="L80">
        <v>52731579</v>
      </c>
      <c r="M80">
        <v>300336825.85299999</v>
      </c>
      <c r="N80" s="4">
        <f>M80/L80</f>
        <v>5.6955780871458446</v>
      </c>
    </row>
    <row r="81" spans="1:14" x14ac:dyDescent="0.2">
      <c r="A81" t="s">
        <v>10</v>
      </c>
      <c r="B81">
        <v>20110801</v>
      </c>
      <c r="C81">
        <v>20111001</v>
      </c>
      <c r="D81" t="s">
        <v>11</v>
      </c>
      <c r="E81" t="s">
        <v>12</v>
      </c>
      <c r="F81" t="s">
        <v>13</v>
      </c>
      <c r="G81" s="2" t="s">
        <v>14</v>
      </c>
      <c r="H81" t="s">
        <v>15</v>
      </c>
      <c r="I81" t="s">
        <v>16</v>
      </c>
      <c r="J81" t="s">
        <v>17</v>
      </c>
      <c r="K81" t="s">
        <v>18</v>
      </c>
      <c r="L81">
        <v>55406616</v>
      </c>
      <c r="M81">
        <v>289416235.66799998</v>
      </c>
      <c r="N81" s="4">
        <f>M81/L81</f>
        <v>5.2234959750655046</v>
      </c>
    </row>
    <row r="82" spans="1:14" x14ac:dyDescent="0.2">
      <c r="A82" t="s">
        <v>10</v>
      </c>
      <c r="B82">
        <v>20110901</v>
      </c>
      <c r="C82">
        <v>20111101</v>
      </c>
      <c r="D82" t="s">
        <v>11</v>
      </c>
      <c r="E82" t="s">
        <v>12</v>
      </c>
      <c r="F82" t="s">
        <v>13</v>
      </c>
      <c r="G82" s="2" t="s">
        <v>14</v>
      </c>
      <c r="H82" t="s">
        <v>15</v>
      </c>
      <c r="I82" t="s">
        <v>16</v>
      </c>
      <c r="J82" t="s">
        <v>17</v>
      </c>
      <c r="K82" t="s">
        <v>18</v>
      </c>
      <c r="L82">
        <v>66049879</v>
      </c>
      <c r="M82">
        <v>311214557.44</v>
      </c>
      <c r="N82" s="4">
        <f>M82/L82</f>
        <v>4.711811166830449</v>
      </c>
    </row>
    <row r="83" spans="1:14" x14ac:dyDescent="0.2">
      <c r="A83" t="s">
        <v>10</v>
      </c>
      <c r="B83">
        <v>20111001</v>
      </c>
      <c r="C83">
        <v>20111201</v>
      </c>
      <c r="D83" t="s">
        <v>11</v>
      </c>
      <c r="E83" t="s">
        <v>12</v>
      </c>
      <c r="F83" t="s">
        <v>13</v>
      </c>
      <c r="G83" s="2" t="s">
        <v>14</v>
      </c>
      <c r="H83" t="s">
        <v>15</v>
      </c>
      <c r="I83" t="s">
        <v>16</v>
      </c>
      <c r="J83" t="s">
        <v>17</v>
      </c>
      <c r="K83" t="s">
        <v>18</v>
      </c>
      <c r="L83">
        <v>67530895</v>
      </c>
      <c r="M83">
        <v>278901328.08600003</v>
      </c>
      <c r="N83" s="4">
        <f>M83/L83</f>
        <v>4.1299812194996086</v>
      </c>
    </row>
    <row r="84" spans="1:14" x14ac:dyDescent="0.2">
      <c r="A84" t="s">
        <v>10</v>
      </c>
      <c r="B84">
        <v>20111101</v>
      </c>
      <c r="C84">
        <v>20120101</v>
      </c>
      <c r="D84" t="s">
        <v>11</v>
      </c>
      <c r="E84" t="s">
        <v>12</v>
      </c>
      <c r="F84" t="s">
        <v>13</v>
      </c>
      <c r="G84" s="2" t="s">
        <v>14</v>
      </c>
      <c r="H84" t="s">
        <v>15</v>
      </c>
      <c r="I84" t="s">
        <v>16</v>
      </c>
      <c r="J84" t="s">
        <v>17</v>
      </c>
      <c r="K84" t="s">
        <v>18</v>
      </c>
      <c r="L84">
        <v>73078412</v>
      </c>
      <c r="M84">
        <v>318586117.39700001</v>
      </c>
      <c r="N84" s="4">
        <f>M84/L84</f>
        <v>4.3595106773392942</v>
      </c>
    </row>
    <row r="85" spans="1:14" x14ac:dyDescent="0.2">
      <c r="A85" t="s">
        <v>10</v>
      </c>
      <c r="B85">
        <v>20111201</v>
      </c>
      <c r="C85">
        <v>20120201</v>
      </c>
      <c r="D85" t="s">
        <v>11</v>
      </c>
      <c r="E85" t="s">
        <v>12</v>
      </c>
      <c r="F85" t="s">
        <v>13</v>
      </c>
      <c r="G85" s="2" t="s">
        <v>14</v>
      </c>
      <c r="H85" t="s">
        <v>15</v>
      </c>
      <c r="I85" t="s">
        <v>16</v>
      </c>
      <c r="J85" t="s">
        <v>17</v>
      </c>
      <c r="K85" t="s">
        <v>18</v>
      </c>
      <c r="L85">
        <v>78438788</v>
      </c>
      <c r="M85">
        <v>358897044.44700003</v>
      </c>
      <c r="N85" s="4">
        <f>M85/L85</f>
        <v>4.5755047164548239</v>
      </c>
    </row>
    <row r="86" spans="1:14" x14ac:dyDescent="0.2">
      <c r="A86" t="s">
        <v>10</v>
      </c>
      <c r="B86">
        <v>20120101</v>
      </c>
      <c r="C86">
        <v>20120301</v>
      </c>
      <c r="D86" t="s">
        <v>11</v>
      </c>
      <c r="E86" t="s">
        <v>12</v>
      </c>
      <c r="F86" t="s">
        <v>13</v>
      </c>
      <c r="G86" s="2" t="s">
        <v>19</v>
      </c>
      <c r="H86" t="s">
        <v>20</v>
      </c>
      <c r="I86" t="s">
        <v>16</v>
      </c>
      <c r="J86" t="s">
        <v>17</v>
      </c>
      <c r="K86" t="s">
        <v>18</v>
      </c>
      <c r="L86">
        <v>55927245</v>
      </c>
      <c r="M86">
        <v>241835255.539</v>
      </c>
      <c r="N86" s="4">
        <f>M86/L86</f>
        <v>4.3241045672641301</v>
      </c>
    </row>
    <row r="87" spans="1:14" x14ac:dyDescent="0.2">
      <c r="A87" t="s">
        <v>10</v>
      </c>
      <c r="B87">
        <v>20120201</v>
      </c>
      <c r="C87">
        <v>20120401</v>
      </c>
      <c r="D87" t="s">
        <v>11</v>
      </c>
      <c r="E87" t="s">
        <v>12</v>
      </c>
      <c r="F87" t="s">
        <v>13</v>
      </c>
      <c r="G87" s="2" t="s">
        <v>19</v>
      </c>
      <c r="H87" t="s">
        <v>20</v>
      </c>
      <c r="I87" t="s">
        <v>16</v>
      </c>
      <c r="J87" t="s">
        <v>17</v>
      </c>
      <c r="K87" t="s">
        <v>18</v>
      </c>
      <c r="L87">
        <v>56832576</v>
      </c>
      <c r="M87">
        <v>280092193.22799999</v>
      </c>
      <c r="N87" s="4">
        <f>M87/L87</f>
        <v>4.9283740583569537</v>
      </c>
    </row>
    <row r="88" spans="1:14" x14ac:dyDescent="0.2">
      <c r="A88" t="s">
        <v>10</v>
      </c>
      <c r="B88">
        <v>20120301</v>
      </c>
      <c r="C88">
        <v>20120501</v>
      </c>
      <c r="D88" t="s">
        <v>11</v>
      </c>
      <c r="E88" t="s">
        <v>12</v>
      </c>
      <c r="F88" t="s">
        <v>13</v>
      </c>
      <c r="G88" s="2" t="s">
        <v>19</v>
      </c>
      <c r="H88" t="s">
        <v>20</v>
      </c>
      <c r="I88" t="s">
        <v>16</v>
      </c>
      <c r="J88" t="s">
        <v>17</v>
      </c>
      <c r="K88" t="s">
        <v>18</v>
      </c>
      <c r="L88">
        <v>74514850</v>
      </c>
      <c r="M88">
        <v>367270313.78899997</v>
      </c>
      <c r="N88" s="4">
        <f>M88/L88</f>
        <v>4.9288204135014695</v>
      </c>
    </row>
    <row r="89" spans="1:14" x14ac:dyDescent="0.2">
      <c r="A89" t="s">
        <v>10</v>
      </c>
      <c r="B89">
        <v>20120401</v>
      </c>
      <c r="C89">
        <v>20120601</v>
      </c>
      <c r="D89" t="s">
        <v>11</v>
      </c>
      <c r="E89" t="s">
        <v>12</v>
      </c>
      <c r="F89" t="s">
        <v>13</v>
      </c>
      <c r="G89" s="2" t="s">
        <v>19</v>
      </c>
      <c r="H89" t="s">
        <v>20</v>
      </c>
      <c r="I89" t="s">
        <v>16</v>
      </c>
      <c r="J89" t="s">
        <v>17</v>
      </c>
      <c r="K89" t="s">
        <v>18</v>
      </c>
      <c r="L89">
        <v>58521437</v>
      </c>
      <c r="M89">
        <v>296636579.57999998</v>
      </c>
      <c r="N89" s="4">
        <f>M89/L89</f>
        <v>5.0688533089165251</v>
      </c>
    </row>
    <row r="90" spans="1:14" x14ac:dyDescent="0.2">
      <c r="A90" t="s">
        <v>10</v>
      </c>
      <c r="B90">
        <v>20120501</v>
      </c>
      <c r="C90">
        <v>20120701</v>
      </c>
      <c r="D90" t="s">
        <v>11</v>
      </c>
      <c r="E90" t="s">
        <v>12</v>
      </c>
      <c r="F90" t="s">
        <v>13</v>
      </c>
      <c r="G90" s="2" t="s">
        <v>19</v>
      </c>
      <c r="H90" t="s">
        <v>20</v>
      </c>
      <c r="I90" t="s">
        <v>16</v>
      </c>
      <c r="J90" t="s">
        <v>17</v>
      </c>
      <c r="K90" t="s">
        <v>18</v>
      </c>
      <c r="L90">
        <v>66158843</v>
      </c>
      <c r="M90">
        <v>331319655.50700003</v>
      </c>
      <c r="N90" s="4">
        <f>M90/L90</f>
        <v>5.0079421054415967</v>
      </c>
    </row>
    <row r="91" spans="1:14" x14ac:dyDescent="0.2">
      <c r="A91" t="s">
        <v>10</v>
      </c>
      <c r="B91">
        <v>20120601</v>
      </c>
      <c r="C91">
        <v>20120801</v>
      </c>
      <c r="D91" t="s">
        <v>11</v>
      </c>
      <c r="E91" t="s">
        <v>12</v>
      </c>
      <c r="F91" t="s">
        <v>13</v>
      </c>
      <c r="G91" s="2" t="s">
        <v>19</v>
      </c>
      <c r="H91" t="s">
        <v>20</v>
      </c>
      <c r="I91" t="s">
        <v>16</v>
      </c>
      <c r="J91" t="s">
        <v>17</v>
      </c>
      <c r="K91" t="s">
        <v>18</v>
      </c>
      <c r="L91">
        <v>72293762</v>
      </c>
      <c r="M91">
        <v>321676419.51599997</v>
      </c>
      <c r="N91" s="4">
        <f>M91/L91</f>
        <v>4.4495736646821609</v>
      </c>
    </row>
    <row r="92" spans="1:14" x14ac:dyDescent="0.2">
      <c r="A92" t="s">
        <v>10</v>
      </c>
      <c r="B92">
        <v>20120701</v>
      </c>
      <c r="C92">
        <v>20120901</v>
      </c>
      <c r="D92" t="s">
        <v>11</v>
      </c>
      <c r="E92" t="s">
        <v>12</v>
      </c>
      <c r="F92" t="s">
        <v>13</v>
      </c>
      <c r="G92" s="2" t="s">
        <v>19</v>
      </c>
      <c r="H92" t="s">
        <v>20</v>
      </c>
      <c r="I92" t="s">
        <v>16</v>
      </c>
      <c r="J92" t="s">
        <v>17</v>
      </c>
      <c r="K92" t="s">
        <v>18</v>
      </c>
      <c r="L92">
        <v>64655629</v>
      </c>
      <c r="M92">
        <v>287006621.51099998</v>
      </c>
      <c r="N92" s="4">
        <f>M92/L92</f>
        <v>4.4390043983796055</v>
      </c>
    </row>
    <row r="93" spans="1:14" x14ac:dyDescent="0.2">
      <c r="A93" t="s">
        <v>10</v>
      </c>
      <c r="B93">
        <v>20120801</v>
      </c>
      <c r="C93">
        <v>20121001</v>
      </c>
      <c r="D93" t="s">
        <v>11</v>
      </c>
      <c r="E93" t="s">
        <v>12</v>
      </c>
      <c r="F93" t="s">
        <v>13</v>
      </c>
      <c r="G93" s="2" t="s">
        <v>19</v>
      </c>
      <c r="H93" t="s">
        <v>20</v>
      </c>
      <c r="I93" t="s">
        <v>16</v>
      </c>
      <c r="J93" t="s">
        <v>17</v>
      </c>
      <c r="K93" t="s">
        <v>18</v>
      </c>
      <c r="L93">
        <v>71807487</v>
      </c>
      <c r="M93">
        <v>339851093.94300002</v>
      </c>
      <c r="N93" s="4">
        <f>M93/L93</f>
        <v>4.7328086268079543</v>
      </c>
    </row>
    <row r="94" spans="1:14" x14ac:dyDescent="0.2">
      <c r="A94" t="s">
        <v>10</v>
      </c>
      <c r="B94">
        <v>20120901</v>
      </c>
      <c r="C94">
        <v>20121101</v>
      </c>
      <c r="D94" t="s">
        <v>11</v>
      </c>
      <c r="E94" t="s">
        <v>12</v>
      </c>
      <c r="F94" t="s">
        <v>13</v>
      </c>
      <c r="G94" s="2" t="s">
        <v>19</v>
      </c>
      <c r="H94" t="s">
        <v>20</v>
      </c>
      <c r="I94" t="s">
        <v>16</v>
      </c>
      <c r="J94" t="s">
        <v>17</v>
      </c>
      <c r="K94" t="s">
        <v>18</v>
      </c>
      <c r="L94">
        <v>70650448</v>
      </c>
      <c r="M94">
        <v>323484317.56400001</v>
      </c>
      <c r="N94" s="4">
        <f>M94/L94</f>
        <v>4.5786591128763972</v>
      </c>
    </row>
    <row r="95" spans="1:14" x14ac:dyDescent="0.2">
      <c r="A95" t="s">
        <v>10</v>
      </c>
      <c r="B95">
        <v>20121001</v>
      </c>
      <c r="C95">
        <v>20121201</v>
      </c>
      <c r="D95" t="s">
        <v>11</v>
      </c>
      <c r="E95" t="s">
        <v>12</v>
      </c>
      <c r="F95" t="s">
        <v>13</v>
      </c>
      <c r="G95" s="2" t="s">
        <v>19</v>
      </c>
      <c r="H95" t="s">
        <v>20</v>
      </c>
      <c r="I95" t="s">
        <v>16</v>
      </c>
      <c r="J95" t="s">
        <v>17</v>
      </c>
      <c r="K95" t="s">
        <v>18</v>
      </c>
      <c r="L95">
        <v>77410545</v>
      </c>
      <c r="M95">
        <v>348732469.76899999</v>
      </c>
      <c r="N95" s="4">
        <f>M95/L95</f>
        <v>4.5049737057012065</v>
      </c>
    </row>
    <row r="96" spans="1:14" x14ac:dyDescent="0.2">
      <c r="A96" t="s">
        <v>10</v>
      </c>
      <c r="B96">
        <v>20121101</v>
      </c>
      <c r="C96">
        <v>20130101</v>
      </c>
      <c r="D96" t="s">
        <v>11</v>
      </c>
      <c r="E96" t="s">
        <v>12</v>
      </c>
      <c r="F96" t="s">
        <v>13</v>
      </c>
      <c r="G96" s="2" t="s">
        <v>19</v>
      </c>
      <c r="H96" t="s">
        <v>20</v>
      </c>
      <c r="I96" t="s">
        <v>16</v>
      </c>
      <c r="J96" t="s">
        <v>17</v>
      </c>
      <c r="K96" t="s">
        <v>18</v>
      </c>
      <c r="L96">
        <v>83235534</v>
      </c>
      <c r="M96">
        <v>393048055.903</v>
      </c>
      <c r="N96" s="4">
        <f>M96/L96</f>
        <v>4.7221185113439654</v>
      </c>
    </row>
    <row r="97" spans="1:14" x14ac:dyDescent="0.2">
      <c r="A97" t="s">
        <v>10</v>
      </c>
      <c r="B97">
        <v>20121201</v>
      </c>
      <c r="C97">
        <v>20130201</v>
      </c>
      <c r="D97" t="s">
        <v>11</v>
      </c>
      <c r="E97" t="s">
        <v>12</v>
      </c>
      <c r="F97" t="s">
        <v>13</v>
      </c>
      <c r="G97" s="2" t="s">
        <v>19</v>
      </c>
      <c r="H97" t="s">
        <v>20</v>
      </c>
      <c r="I97" t="s">
        <v>16</v>
      </c>
      <c r="J97" t="s">
        <v>17</v>
      </c>
      <c r="K97" t="s">
        <v>18</v>
      </c>
      <c r="L97">
        <v>77018196</v>
      </c>
      <c r="M97">
        <v>414224432.10900003</v>
      </c>
      <c r="N97" s="4">
        <f>M97/L97</f>
        <v>5.3782671319515201</v>
      </c>
    </row>
    <row r="98" spans="1:14" x14ac:dyDescent="0.2">
      <c r="A98" t="s">
        <v>10</v>
      </c>
      <c r="B98">
        <v>20130101</v>
      </c>
      <c r="C98">
        <v>20130301</v>
      </c>
      <c r="D98" t="s">
        <v>11</v>
      </c>
      <c r="E98" t="s">
        <v>12</v>
      </c>
      <c r="F98" t="s">
        <v>13</v>
      </c>
      <c r="G98" s="2" t="s">
        <v>19</v>
      </c>
      <c r="H98" t="s">
        <v>20</v>
      </c>
      <c r="I98" t="s">
        <v>16</v>
      </c>
      <c r="J98" t="s">
        <v>17</v>
      </c>
      <c r="K98" t="s">
        <v>18</v>
      </c>
      <c r="L98">
        <v>63154168</v>
      </c>
      <c r="M98">
        <v>393737908.79900002</v>
      </c>
      <c r="N98" s="4">
        <f>M98/L98</f>
        <v>6.2345514360825725</v>
      </c>
    </row>
    <row r="99" spans="1:14" x14ac:dyDescent="0.2">
      <c r="A99" t="s">
        <v>10</v>
      </c>
      <c r="B99">
        <v>20130201</v>
      </c>
      <c r="C99">
        <v>20130401</v>
      </c>
      <c r="D99" t="s">
        <v>11</v>
      </c>
      <c r="E99" t="s">
        <v>12</v>
      </c>
      <c r="F99" t="s">
        <v>13</v>
      </c>
      <c r="G99" s="2" t="s">
        <v>19</v>
      </c>
      <c r="H99" t="s">
        <v>20</v>
      </c>
      <c r="I99" t="s">
        <v>16</v>
      </c>
      <c r="J99" t="s">
        <v>17</v>
      </c>
      <c r="K99" t="s">
        <v>18</v>
      </c>
      <c r="L99">
        <v>54084592</v>
      </c>
      <c r="M99">
        <v>353883653.55000001</v>
      </c>
      <c r="N99" s="4">
        <f>M99/L99</f>
        <v>6.5431510244174538</v>
      </c>
    </row>
    <row r="100" spans="1:14" x14ac:dyDescent="0.2">
      <c r="A100" t="s">
        <v>10</v>
      </c>
      <c r="B100">
        <v>20130301</v>
      </c>
      <c r="C100">
        <v>20130501</v>
      </c>
      <c r="D100" t="s">
        <v>11</v>
      </c>
      <c r="E100" t="s">
        <v>12</v>
      </c>
      <c r="F100" t="s">
        <v>13</v>
      </c>
      <c r="G100" s="2" t="s">
        <v>19</v>
      </c>
      <c r="H100" t="s">
        <v>20</v>
      </c>
      <c r="I100" t="s">
        <v>16</v>
      </c>
      <c r="J100" t="s">
        <v>17</v>
      </c>
      <c r="K100" t="s">
        <v>18</v>
      </c>
      <c r="L100">
        <v>63764283</v>
      </c>
      <c r="M100">
        <v>415391574.89499998</v>
      </c>
      <c r="N100" s="4">
        <f>M100/L100</f>
        <v>6.5144867212730988</v>
      </c>
    </row>
    <row r="101" spans="1:14" x14ac:dyDescent="0.2">
      <c r="A101" t="s">
        <v>10</v>
      </c>
      <c r="B101">
        <v>20130401</v>
      </c>
      <c r="C101">
        <v>20130601</v>
      </c>
      <c r="D101" t="s">
        <v>11</v>
      </c>
      <c r="E101" t="s">
        <v>12</v>
      </c>
      <c r="F101" t="s">
        <v>13</v>
      </c>
      <c r="G101" s="2" t="s">
        <v>19</v>
      </c>
      <c r="H101" t="s">
        <v>20</v>
      </c>
      <c r="I101" t="s">
        <v>16</v>
      </c>
      <c r="J101" t="s">
        <v>17</v>
      </c>
      <c r="K101" t="s">
        <v>18</v>
      </c>
      <c r="L101">
        <v>57320652</v>
      </c>
      <c r="M101">
        <v>415789940.82800001</v>
      </c>
      <c r="N101" s="4">
        <f>M101/L101</f>
        <v>7.2537545600144258</v>
      </c>
    </row>
    <row r="102" spans="1:14" x14ac:dyDescent="0.2">
      <c r="A102" t="s">
        <v>10</v>
      </c>
      <c r="B102">
        <v>20130501</v>
      </c>
      <c r="C102">
        <v>20130701</v>
      </c>
      <c r="D102" t="s">
        <v>11</v>
      </c>
      <c r="E102" t="s">
        <v>12</v>
      </c>
      <c r="F102" t="s">
        <v>13</v>
      </c>
      <c r="G102" s="2" t="s">
        <v>19</v>
      </c>
      <c r="H102" t="s">
        <v>20</v>
      </c>
      <c r="I102" t="s">
        <v>16</v>
      </c>
      <c r="J102" t="s">
        <v>17</v>
      </c>
      <c r="K102" t="s">
        <v>18</v>
      </c>
      <c r="L102">
        <v>64218628</v>
      </c>
      <c r="M102">
        <v>469415595.53799999</v>
      </c>
      <c r="N102" s="4">
        <f>M102/L102</f>
        <v>7.3096484642742601</v>
      </c>
    </row>
    <row r="103" spans="1:14" x14ac:dyDescent="0.2">
      <c r="A103" t="s">
        <v>10</v>
      </c>
      <c r="B103">
        <v>20130601</v>
      </c>
      <c r="C103">
        <v>20130801</v>
      </c>
      <c r="D103" t="s">
        <v>11</v>
      </c>
      <c r="E103" t="s">
        <v>12</v>
      </c>
      <c r="F103" t="s">
        <v>13</v>
      </c>
      <c r="G103" s="2" t="s">
        <v>19</v>
      </c>
      <c r="H103" t="s">
        <v>20</v>
      </c>
      <c r="I103" t="s">
        <v>16</v>
      </c>
      <c r="J103" t="s">
        <v>17</v>
      </c>
      <c r="K103" t="s">
        <v>18</v>
      </c>
      <c r="L103">
        <v>57027457</v>
      </c>
      <c r="M103">
        <v>397231991.88300002</v>
      </c>
      <c r="N103" s="4">
        <f>M103/L103</f>
        <v>6.9656269590102893</v>
      </c>
    </row>
    <row r="104" spans="1:14" x14ac:dyDescent="0.2">
      <c r="A104" t="s">
        <v>10</v>
      </c>
      <c r="B104">
        <v>20130701</v>
      </c>
      <c r="C104">
        <v>20130901</v>
      </c>
      <c r="D104" t="s">
        <v>11</v>
      </c>
      <c r="E104" t="s">
        <v>12</v>
      </c>
      <c r="F104" t="s">
        <v>13</v>
      </c>
      <c r="G104" s="2" t="s">
        <v>19</v>
      </c>
      <c r="H104" t="s">
        <v>20</v>
      </c>
      <c r="I104" t="s">
        <v>16</v>
      </c>
      <c r="J104" t="s">
        <v>17</v>
      </c>
      <c r="K104" t="s">
        <v>18</v>
      </c>
      <c r="L104">
        <v>60964440</v>
      </c>
      <c r="M104">
        <v>445285847.11699998</v>
      </c>
      <c r="N104" s="4">
        <f>M104/L104</f>
        <v>7.3040258733943917</v>
      </c>
    </row>
    <row r="105" spans="1:14" x14ac:dyDescent="0.2">
      <c r="A105" t="s">
        <v>10</v>
      </c>
      <c r="B105">
        <v>20130801</v>
      </c>
      <c r="C105">
        <v>20131001</v>
      </c>
      <c r="D105" t="s">
        <v>11</v>
      </c>
      <c r="E105" t="s">
        <v>12</v>
      </c>
      <c r="F105" t="s">
        <v>13</v>
      </c>
      <c r="G105" s="2" t="s">
        <v>19</v>
      </c>
      <c r="H105" t="s">
        <v>20</v>
      </c>
      <c r="I105" t="s">
        <v>16</v>
      </c>
      <c r="J105" t="s">
        <v>17</v>
      </c>
      <c r="K105" t="s">
        <v>18</v>
      </c>
      <c r="L105">
        <v>64724235</v>
      </c>
      <c r="M105">
        <v>442299074.23699999</v>
      </c>
      <c r="N105" s="4">
        <f>M105/L105</f>
        <v>6.8335929229136507</v>
      </c>
    </row>
    <row r="106" spans="1:14" x14ac:dyDescent="0.2">
      <c r="A106" t="s">
        <v>10</v>
      </c>
      <c r="B106">
        <v>20130901</v>
      </c>
      <c r="C106">
        <v>20131101</v>
      </c>
      <c r="D106" t="s">
        <v>11</v>
      </c>
      <c r="E106" t="s">
        <v>12</v>
      </c>
      <c r="F106" t="s">
        <v>13</v>
      </c>
      <c r="G106" s="2" t="s">
        <v>19</v>
      </c>
      <c r="H106" t="s">
        <v>20</v>
      </c>
      <c r="I106" t="s">
        <v>16</v>
      </c>
      <c r="J106" t="s">
        <v>17</v>
      </c>
      <c r="K106" t="s">
        <v>18</v>
      </c>
      <c r="L106">
        <v>74023630</v>
      </c>
      <c r="M106">
        <v>414720198.32700002</v>
      </c>
      <c r="N106" s="4">
        <f>M106/L106</f>
        <v>5.6025379777646682</v>
      </c>
    </row>
    <row r="107" spans="1:14" x14ac:dyDescent="0.2">
      <c r="A107" t="s">
        <v>10</v>
      </c>
      <c r="B107">
        <v>20131001</v>
      </c>
      <c r="C107">
        <v>20131201</v>
      </c>
      <c r="D107" t="s">
        <v>11</v>
      </c>
      <c r="E107" t="s">
        <v>12</v>
      </c>
      <c r="F107" t="s">
        <v>13</v>
      </c>
      <c r="G107" s="2" t="s">
        <v>19</v>
      </c>
      <c r="H107" t="s">
        <v>20</v>
      </c>
      <c r="I107" t="s">
        <v>16</v>
      </c>
      <c r="J107" t="s">
        <v>17</v>
      </c>
      <c r="K107" t="s">
        <v>18</v>
      </c>
      <c r="L107">
        <v>82183776</v>
      </c>
      <c r="M107">
        <v>517962778.70999998</v>
      </c>
      <c r="N107" s="4">
        <f>M107/L107</f>
        <v>6.3024942868285825</v>
      </c>
    </row>
    <row r="108" spans="1:14" x14ac:dyDescent="0.2">
      <c r="A108" t="s">
        <v>10</v>
      </c>
      <c r="B108">
        <v>20131101</v>
      </c>
      <c r="C108">
        <v>20140101</v>
      </c>
      <c r="D108" t="s">
        <v>11</v>
      </c>
      <c r="E108" t="s">
        <v>12</v>
      </c>
      <c r="F108" t="s">
        <v>13</v>
      </c>
      <c r="G108" s="2" t="s">
        <v>19</v>
      </c>
      <c r="H108" t="s">
        <v>20</v>
      </c>
      <c r="I108" t="s">
        <v>16</v>
      </c>
      <c r="J108" t="s">
        <v>17</v>
      </c>
      <c r="K108" t="s">
        <v>18</v>
      </c>
      <c r="L108">
        <v>77664899</v>
      </c>
      <c r="M108">
        <v>497247306.19300002</v>
      </c>
      <c r="N108" s="4">
        <f>M108/L108</f>
        <v>6.4024715488653374</v>
      </c>
    </row>
    <row r="109" spans="1:14" x14ac:dyDescent="0.2">
      <c r="A109" t="s">
        <v>10</v>
      </c>
      <c r="B109">
        <v>20131201</v>
      </c>
      <c r="C109">
        <v>20140201</v>
      </c>
      <c r="D109" t="s">
        <v>11</v>
      </c>
      <c r="E109" t="s">
        <v>12</v>
      </c>
      <c r="F109" t="s">
        <v>13</v>
      </c>
      <c r="G109" s="2" t="s">
        <v>19</v>
      </c>
      <c r="H109" t="s">
        <v>20</v>
      </c>
      <c r="I109" t="s">
        <v>16</v>
      </c>
      <c r="J109" t="s">
        <v>17</v>
      </c>
      <c r="K109" t="s">
        <v>18</v>
      </c>
      <c r="L109">
        <v>76893006</v>
      </c>
      <c r="M109">
        <v>602055475.83899999</v>
      </c>
      <c r="N109" s="4">
        <f>M109/L109</f>
        <v>7.8297820199538046</v>
      </c>
    </row>
    <row r="110" spans="1:14" x14ac:dyDescent="0.2">
      <c r="A110" t="s">
        <v>10</v>
      </c>
      <c r="B110">
        <v>20140101</v>
      </c>
      <c r="C110">
        <v>20140301</v>
      </c>
      <c r="D110" t="s">
        <v>11</v>
      </c>
      <c r="E110" t="s">
        <v>12</v>
      </c>
      <c r="F110" t="s">
        <v>13</v>
      </c>
      <c r="G110" s="2" t="s">
        <v>19</v>
      </c>
      <c r="H110" t="s">
        <v>20</v>
      </c>
      <c r="I110" t="s">
        <v>16</v>
      </c>
      <c r="J110" t="s">
        <v>17</v>
      </c>
      <c r="K110" t="s">
        <v>18</v>
      </c>
      <c r="L110">
        <v>61737607</v>
      </c>
      <c r="M110">
        <v>489091678.54799998</v>
      </c>
      <c r="N110" s="4">
        <f>M110/L110</f>
        <v>7.9221029501192035</v>
      </c>
    </row>
    <row r="111" spans="1:14" x14ac:dyDescent="0.2">
      <c r="A111" t="s">
        <v>10</v>
      </c>
      <c r="B111">
        <v>20140201</v>
      </c>
      <c r="C111">
        <v>20140401</v>
      </c>
      <c r="D111" t="s">
        <v>11</v>
      </c>
      <c r="E111" t="s">
        <v>12</v>
      </c>
      <c r="F111" t="s">
        <v>13</v>
      </c>
      <c r="G111" s="2" t="s">
        <v>19</v>
      </c>
      <c r="H111" t="s">
        <v>20</v>
      </c>
      <c r="I111" t="s">
        <v>16</v>
      </c>
      <c r="J111" t="s">
        <v>17</v>
      </c>
      <c r="K111" t="s">
        <v>18</v>
      </c>
      <c r="L111">
        <v>55727626</v>
      </c>
      <c r="M111">
        <v>433382634.366</v>
      </c>
      <c r="N111" s="4">
        <f>M111/L111</f>
        <v>7.7768005829998934</v>
      </c>
    </row>
    <row r="112" spans="1:14" x14ac:dyDescent="0.2">
      <c r="A112" t="s">
        <v>10</v>
      </c>
      <c r="B112">
        <v>20140301</v>
      </c>
      <c r="C112">
        <v>20140501</v>
      </c>
      <c r="D112" t="s">
        <v>11</v>
      </c>
      <c r="E112" t="s">
        <v>12</v>
      </c>
      <c r="F112" t="s">
        <v>13</v>
      </c>
      <c r="G112" s="2" t="s">
        <v>19</v>
      </c>
      <c r="H112" t="s">
        <v>20</v>
      </c>
      <c r="I112" t="s">
        <v>16</v>
      </c>
      <c r="J112" t="s">
        <v>17</v>
      </c>
      <c r="K112" t="s">
        <v>18</v>
      </c>
      <c r="L112">
        <v>67223208</v>
      </c>
      <c r="M112">
        <v>492105870.87599999</v>
      </c>
      <c r="N112" s="4">
        <f>M112/L112</f>
        <v>7.3204758522681628</v>
      </c>
    </row>
    <row r="113" spans="1:14" x14ac:dyDescent="0.2">
      <c r="A113" t="s">
        <v>10</v>
      </c>
      <c r="B113">
        <v>20140401</v>
      </c>
      <c r="C113">
        <v>20140601</v>
      </c>
      <c r="D113" t="s">
        <v>11</v>
      </c>
      <c r="E113" t="s">
        <v>12</v>
      </c>
      <c r="F113" t="s">
        <v>13</v>
      </c>
      <c r="G113" s="2" t="s">
        <v>19</v>
      </c>
      <c r="H113" t="s">
        <v>20</v>
      </c>
      <c r="I113" t="s">
        <v>16</v>
      </c>
      <c r="J113" t="s">
        <v>17</v>
      </c>
      <c r="K113" t="s">
        <v>18</v>
      </c>
      <c r="L113">
        <v>69426269</v>
      </c>
      <c r="M113">
        <v>526832884.82099998</v>
      </c>
      <c r="N113" s="4">
        <f>M113/L113</f>
        <v>7.5883796207023595</v>
      </c>
    </row>
    <row r="114" spans="1:14" x14ac:dyDescent="0.2">
      <c r="A114" t="s">
        <v>10</v>
      </c>
      <c r="B114">
        <v>20140501</v>
      </c>
      <c r="C114">
        <v>20140701</v>
      </c>
      <c r="D114" t="s">
        <v>11</v>
      </c>
      <c r="E114" t="s">
        <v>12</v>
      </c>
      <c r="F114" t="s">
        <v>13</v>
      </c>
      <c r="G114" s="2" t="s">
        <v>19</v>
      </c>
      <c r="H114" t="s">
        <v>20</v>
      </c>
      <c r="I114" t="s">
        <v>16</v>
      </c>
      <c r="J114" t="s">
        <v>17</v>
      </c>
      <c r="K114" t="s">
        <v>18</v>
      </c>
      <c r="L114">
        <v>67278679</v>
      </c>
      <c r="M114">
        <v>459156829.39899999</v>
      </c>
      <c r="N114" s="4">
        <f>M114/L114</f>
        <v>6.8247004284819566</v>
      </c>
    </row>
    <row r="115" spans="1:14" x14ac:dyDescent="0.2">
      <c r="A115" t="s">
        <v>10</v>
      </c>
      <c r="B115">
        <v>20140601</v>
      </c>
      <c r="C115">
        <v>20140801</v>
      </c>
      <c r="D115" t="s">
        <v>11</v>
      </c>
      <c r="E115" t="s">
        <v>12</v>
      </c>
      <c r="F115" t="s">
        <v>13</v>
      </c>
      <c r="G115" s="2" t="s">
        <v>19</v>
      </c>
      <c r="H115" t="s">
        <v>20</v>
      </c>
      <c r="I115" t="s">
        <v>16</v>
      </c>
      <c r="J115" t="s">
        <v>17</v>
      </c>
      <c r="K115" t="s">
        <v>18</v>
      </c>
      <c r="L115">
        <v>68333117</v>
      </c>
      <c r="M115">
        <v>409863216.77700001</v>
      </c>
      <c r="N115" s="4">
        <f>M115/L115</f>
        <v>5.9980172831425209</v>
      </c>
    </row>
    <row r="116" spans="1:14" x14ac:dyDescent="0.2">
      <c r="A116" t="s">
        <v>10</v>
      </c>
      <c r="B116">
        <v>20140701</v>
      </c>
      <c r="C116">
        <v>20140901</v>
      </c>
      <c r="D116" t="s">
        <v>11</v>
      </c>
      <c r="E116" t="s">
        <v>12</v>
      </c>
      <c r="F116" t="s">
        <v>13</v>
      </c>
      <c r="G116" s="2" t="s">
        <v>19</v>
      </c>
      <c r="H116" t="s">
        <v>20</v>
      </c>
      <c r="I116" t="s">
        <v>16</v>
      </c>
      <c r="J116" t="s">
        <v>17</v>
      </c>
      <c r="K116" t="s">
        <v>18</v>
      </c>
      <c r="L116">
        <v>67024968</v>
      </c>
      <c r="M116">
        <v>438436308.60900003</v>
      </c>
      <c r="N116" s="4">
        <f>M116/L116</f>
        <v>6.5413878095249522</v>
      </c>
    </row>
    <row r="117" spans="1:14" x14ac:dyDescent="0.2">
      <c r="A117" t="s">
        <v>10</v>
      </c>
      <c r="B117">
        <v>20140801</v>
      </c>
      <c r="C117">
        <v>20141001</v>
      </c>
      <c r="D117" t="s">
        <v>11</v>
      </c>
      <c r="E117" t="s">
        <v>12</v>
      </c>
      <c r="F117" t="s">
        <v>13</v>
      </c>
      <c r="G117" s="2" t="s">
        <v>19</v>
      </c>
      <c r="H117" t="s">
        <v>20</v>
      </c>
      <c r="I117" t="s">
        <v>16</v>
      </c>
      <c r="J117" t="s">
        <v>17</v>
      </c>
      <c r="K117" t="s">
        <v>18</v>
      </c>
      <c r="L117">
        <v>69006440</v>
      </c>
      <c r="M117">
        <v>399329584.24199998</v>
      </c>
      <c r="N117" s="4">
        <f>M117/L117</f>
        <v>5.7868451733200548</v>
      </c>
    </row>
    <row r="118" spans="1:14" x14ac:dyDescent="0.2">
      <c r="A118" t="s">
        <v>10</v>
      </c>
      <c r="B118">
        <v>20140901</v>
      </c>
      <c r="C118">
        <v>20141101</v>
      </c>
      <c r="D118" t="s">
        <v>11</v>
      </c>
      <c r="E118" t="s">
        <v>12</v>
      </c>
      <c r="F118" t="s">
        <v>13</v>
      </c>
      <c r="G118" s="2" t="s">
        <v>19</v>
      </c>
      <c r="H118" t="s">
        <v>20</v>
      </c>
      <c r="I118" t="s">
        <v>16</v>
      </c>
      <c r="J118" t="s">
        <v>17</v>
      </c>
      <c r="K118" t="s">
        <v>18</v>
      </c>
      <c r="L118">
        <v>72389508</v>
      </c>
      <c r="M118">
        <v>399160312.78399998</v>
      </c>
      <c r="N118" s="4">
        <f>M118/L118</f>
        <v>5.5140630709080103</v>
      </c>
    </row>
    <row r="119" spans="1:14" x14ac:dyDescent="0.2">
      <c r="A119" t="s">
        <v>10</v>
      </c>
      <c r="B119">
        <v>20141001</v>
      </c>
      <c r="C119">
        <v>20141201</v>
      </c>
      <c r="D119" t="s">
        <v>11</v>
      </c>
      <c r="E119" t="s">
        <v>12</v>
      </c>
      <c r="F119" t="s">
        <v>13</v>
      </c>
      <c r="G119" s="2" t="s">
        <v>19</v>
      </c>
      <c r="H119" t="s">
        <v>20</v>
      </c>
      <c r="I119" t="s">
        <v>16</v>
      </c>
      <c r="J119" t="s">
        <v>17</v>
      </c>
      <c r="K119" t="s">
        <v>18</v>
      </c>
      <c r="L119">
        <v>81173564</v>
      </c>
      <c r="M119">
        <v>439850462.70300001</v>
      </c>
      <c r="N119" s="4">
        <f>M119/L119</f>
        <v>5.4186417477369853</v>
      </c>
    </row>
    <row r="120" spans="1:14" x14ac:dyDescent="0.2">
      <c r="A120" t="s">
        <v>10</v>
      </c>
      <c r="B120">
        <v>20141101</v>
      </c>
      <c r="C120">
        <v>20150101</v>
      </c>
      <c r="D120" t="s">
        <v>11</v>
      </c>
      <c r="E120" t="s">
        <v>12</v>
      </c>
      <c r="F120" t="s">
        <v>13</v>
      </c>
      <c r="G120" s="2" t="s">
        <v>19</v>
      </c>
      <c r="H120" t="s">
        <v>20</v>
      </c>
      <c r="I120" t="s">
        <v>16</v>
      </c>
      <c r="J120" t="s">
        <v>17</v>
      </c>
      <c r="K120" t="s">
        <v>18</v>
      </c>
      <c r="L120">
        <v>71499043</v>
      </c>
      <c r="M120">
        <v>427101623.80400002</v>
      </c>
      <c r="N120" s="4">
        <f>M120/L120</f>
        <v>5.9735292373633593</v>
      </c>
    </row>
    <row r="121" spans="1:14" x14ac:dyDescent="0.2">
      <c r="A121" t="s">
        <v>10</v>
      </c>
      <c r="B121">
        <v>20141201</v>
      </c>
      <c r="C121">
        <v>20150201</v>
      </c>
      <c r="D121" t="s">
        <v>11</v>
      </c>
      <c r="E121" t="s">
        <v>12</v>
      </c>
      <c r="F121" t="s">
        <v>13</v>
      </c>
      <c r="G121" s="2" t="s">
        <v>19</v>
      </c>
      <c r="H121" t="s">
        <v>20</v>
      </c>
      <c r="I121" t="s">
        <v>16</v>
      </c>
      <c r="J121" t="s">
        <v>17</v>
      </c>
      <c r="K121" t="s">
        <v>18</v>
      </c>
      <c r="L121">
        <v>74102696</v>
      </c>
      <c r="M121">
        <v>460968888.54900002</v>
      </c>
      <c r="N121" s="4">
        <f>M121/L121</f>
        <v>6.2206763509521981</v>
      </c>
    </row>
    <row r="122" spans="1:14" x14ac:dyDescent="0.2">
      <c r="A122" t="s">
        <v>10</v>
      </c>
      <c r="B122">
        <v>20150101</v>
      </c>
      <c r="C122">
        <v>20150301</v>
      </c>
      <c r="D122" t="s">
        <v>11</v>
      </c>
      <c r="E122" t="s">
        <v>12</v>
      </c>
      <c r="F122" t="s">
        <v>13</v>
      </c>
      <c r="G122" s="2" t="s">
        <v>19</v>
      </c>
      <c r="H122" t="s">
        <v>20</v>
      </c>
      <c r="I122" t="s">
        <v>16</v>
      </c>
      <c r="J122" t="s">
        <v>17</v>
      </c>
      <c r="K122" t="s">
        <v>18</v>
      </c>
      <c r="L122">
        <v>65335117</v>
      </c>
      <c r="M122">
        <v>375792108.57099998</v>
      </c>
      <c r="N122" s="4">
        <f>M122/L122</f>
        <v>5.7517630001489088</v>
      </c>
    </row>
    <row r="123" spans="1:14" x14ac:dyDescent="0.2">
      <c r="A123" t="s">
        <v>10</v>
      </c>
      <c r="B123">
        <v>20150201</v>
      </c>
      <c r="C123">
        <v>20150401</v>
      </c>
      <c r="D123" t="s">
        <v>11</v>
      </c>
      <c r="E123" t="s">
        <v>12</v>
      </c>
      <c r="F123" t="s">
        <v>13</v>
      </c>
      <c r="G123" s="2" t="s">
        <v>19</v>
      </c>
      <c r="H123" t="s">
        <v>20</v>
      </c>
      <c r="I123" t="s">
        <v>16</v>
      </c>
      <c r="J123" t="s">
        <v>17</v>
      </c>
      <c r="K123" t="s">
        <v>18</v>
      </c>
      <c r="L123">
        <v>60824239</v>
      </c>
      <c r="M123">
        <v>337985407.57200003</v>
      </c>
      <c r="N123" s="4">
        <f>M123/L123</f>
        <v>5.5567552201023025</v>
      </c>
    </row>
    <row r="124" spans="1:14" x14ac:dyDescent="0.2">
      <c r="A124" t="s">
        <v>10</v>
      </c>
      <c r="B124">
        <v>20150301</v>
      </c>
      <c r="C124">
        <v>20150501</v>
      </c>
      <c r="D124" t="s">
        <v>11</v>
      </c>
      <c r="E124" t="s">
        <v>12</v>
      </c>
      <c r="F124" t="s">
        <v>13</v>
      </c>
      <c r="G124" s="2" t="s">
        <v>19</v>
      </c>
      <c r="H124" t="s">
        <v>20</v>
      </c>
      <c r="I124" t="s">
        <v>16</v>
      </c>
      <c r="J124" t="s">
        <v>17</v>
      </c>
      <c r="K124" t="s">
        <v>18</v>
      </c>
      <c r="L124">
        <v>77944145</v>
      </c>
      <c r="M124">
        <v>404916171.85500002</v>
      </c>
      <c r="N124" s="4">
        <f>M124/L124</f>
        <v>5.1949530250796903</v>
      </c>
    </row>
    <row r="125" spans="1:14" x14ac:dyDescent="0.2">
      <c r="A125" t="s">
        <v>10</v>
      </c>
      <c r="B125">
        <v>20150401</v>
      </c>
      <c r="C125">
        <v>20150601</v>
      </c>
      <c r="D125" t="s">
        <v>11</v>
      </c>
      <c r="E125" t="s">
        <v>12</v>
      </c>
      <c r="F125" t="s">
        <v>13</v>
      </c>
      <c r="G125" s="2" t="s">
        <v>19</v>
      </c>
      <c r="H125" t="s">
        <v>20</v>
      </c>
      <c r="I125" t="s">
        <v>16</v>
      </c>
      <c r="J125" t="s">
        <v>17</v>
      </c>
      <c r="K125" t="s">
        <v>18</v>
      </c>
      <c r="L125">
        <v>69164071</v>
      </c>
      <c r="M125">
        <v>349762731.222</v>
      </c>
      <c r="N125" s="4">
        <f>M125/L125</f>
        <v>5.0570003495311893</v>
      </c>
    </row>
    <row r="126" spans="1:14" x14ac:dyDescent="0.2">
      <c r="A126" t="s">
        <v>10</v>
      </c>
      <c r="B126">
        <v>20150501</v>
      </c>
      <c r="C126">
        <v>20150701</v>
      </c>
      <c r="D126" t="s">
        <v>11</v>
      </c>
      <c r="E126" t="s">
        <v>12</v>
      </c>
      <c r="F126" t="s">
        <v>13</v>
      </c>
      <c r="G126" s="2" t="s">
        <v>19</v>
      </c>
      <c r="H126" t="s">
        <v>20</v>
      </c>
      <c r="I126" t="s">
        <v>16</v>
      </c>
      <c r="J126" t="s">
        <v>17</v>
      </c>
      <c r="K126" t="s">
        <v>18</v>
      </c>
      <c r="L126">
        <v>70892009</v>
      </c>
      <c r="M126">
        <v>360424705.426</v>
      </c>
      <c r="N126" s="4">
        <f>M126/L126</f>
        <v>5.0841372745692679</v>
      </c>
    </row>
    <row r="127" spans="1:14" x14ac:dyDescent="0.2">
      <c r="A127" t="s">
        <v>10</v>
      </c>
      <c r="B127">
        <v>20150601</v>
      </c>
      <c r="C127">
        <v>20150801</v>
      </c>
      <c r="D127" t="s">
        <v>11</v>
      </c>
      <c r="E127" t="s">
        <v>12</v>
      </c>
      <c r="F127" t="s">
        <v>13</v>
      </c>
      <c r="G127" s="2" t="s">
        <v>19</v>
      </c>
      <c r="H127" t="s">
        <v>20</v>
      </c>
      <c r="I127" t="s">
        <v>16</v>
      </c>
      <c r="J127" t="s">
        <v>17</v>
      </c>
      <c r="K127" t="s">
        <v>18</v>
      </c>
      <c r="L127">
        <v>70665084</v>
      </c>
      <c r="M127">
        <v>369759722.84799999</v>
      </c>
      <c r="N127" s="4">
        <f>M127/L127</f>
        <v>5.2325660979614765</v>
      </c>
    </row>
    <row r="128" spans="1:14" x14ac:dyDescent="0.2">
      <c r="A128" t="s">
        <v>10</v>
      </c>
      <c r="B128">
        <v>20150701</v>
      </c>
      <c r="C128">
        <v>20150901</v>
      </c>
      <c r="D128" t="s">
        <v>11</v>
      </c>
      <c r="E128" t="s">
        <v>12</v>
      </c>
      <c r="F128" t="s">
        <v>13</v>
      </c>
      <c r="G128" s="2" t="s">
        <v>19</v>
      </c>
      <c r="H128" t="s">
        <v>20</v>
      </c>
      <c r="I128" t="s">
        <v>16</v>
      </c>
      <c r="J128" t="s">
        <v>17</v>
      </c>
      <c r="K128" t="s">
        <v>18</v>
      </c>
      <c r="L128">
        <v>68182752</v>
      </c>
      <c r="M128">
        <v>368755770.94199997</v>
      </c>
      <c r="N128" s="4">
        <f>M128/L128</f>
        <v>5.40834390113793</v>
      </c>
    </row>
    <row r="129" spans="1:14" x14ac:dyDescent="0.2">
      <c r="A129" t="s">
        <v>10</v>
      </c>
      <c r="B129">
        <v>20150801</v>
      </c>
      <c r="C129">
        <v>20151001</v>
      </c>
      <c r="D129" t="s">
        <v>11</v>
      </c>
      <c r="E129" t="s">
        <v>12</v>
      </c>
      <c r="F129" t="s">
        <v>13</v>
      </c>
      <c r="G129" s="2" t="s">
        <v>19</v>
      </c>
      <c r="H129" t="s">
        <v>20</v>
      </c>
      <c r="I129" t="s">
        <v>16</v>
      </c>
      <c r="J129" t="s">
        <v>17</v>
      </c>
      <c r="K129" t="s">
        <v>18</v>
      </c>
      <c r="L129">
        <v>67360011</v>
      </c>
      <c r="M129">
        <v>353992726.68599999</v>
      </c>
      <c r="N129" s="4">
        <f>M129/L129</f>
        <v>5.2552355831117659</v>
      </c>
    </row>
    <row r="130" spans="1:14" x14ac:dyDescent="0.2">
      <c r="A130" t="s">
        <v>10</v>
      </c>
      <c r="B130">
        <v>20150901</v>
      </c>
      <c r="C130">
        <v>20151101</v>
      </c>
      <c r="D130" t="s">
        <v>11</v>
      </c>
      <c r="E130" t="s">
        <v>12</v>
      </c>
      <c r="F130" t="s">
        <v>13</v>
      </c>
      <c r="G130" s="2" t="s">
        <v>19</v>
      </c>
      <c r="H130" t="s">
        <v>20</v>
      </c>
      <c r="I130" t="s">
        <v>16</v>
      </c>
      <c r="J130" t="s">
        <v>17</v>
      </c>
      <c r="K130" t="s">
        <v>18</v>
      </c>
      <c r="L130">
        <v>79143556</v>
      </c>
      <c r="M130">
        <v>397807179.528</v>
      </c>
      <c r="N130" s="4">
        <f>M130/L130</f>
        <v>5.0264001219252767</v>
      </c>
    </row>
    <row r="131" spans="1:14" x14ac:dyDescent="0.2">
      <c r="A131" t="s">
        <v>10</v>
      </c>
      <c r="B131">
        <v>20151001</v>
      </c>
      <c r="C131">
        <v>20151201</v>
      </c>
      <c r="D131" t="s">
        <v>11</v>
      </c>
      <c r="E131" t="s">
        <v>12</v>
      </c>
      <c r="F131" t="s">
        <v>13</v>
      </c>
      <c r="G131" s="2" t="s">
        <v>19</v>
      </c>
      <c r="H131" t="s">
        <v>20</v>
      </c>
      <c r="I131" t="s">
        <v>16</v>
      </c>
      <c r="J131" t="s">
        <v>17</v>
      </c>
      <c r="K131" t="s">
        <v>18</v>
      </c>
      <c r="L131">
        <v>85246975</v>
      </c>
      <c r="M131">
        <v>431798659.278</v>
      </c>
      <c r="N131" s="4">
        <f>M131/L131</f>
        <v>5.0652666476200476</v>
      </c>
    </row>
    <row r="132" spans="1:14" x14ac:dyDescent="0.2">
      <c r="A132" t="s">
        <v>10</v>
      </c>
      <c r="B132">
        <v>20151101</v>
      </c>
      <c r="C132">
        <v>20160101</v>
      </c>
      <c r="D132" t="s">
        <v>11</v>
      </c>
      <c r="E132" t="s">
        <v>12</v>
      </c>
      <c r="F132" t="s">
        <v>13</v>
      </c>
      <c r="G132" s="2" t="s">
        <v>19</v>
      </c>
      <c r="H132" t="s">
        <v>20</v>
      </c>
      <c r="I132" t="s">
        <v>16</v>
      </c>
      <c r="J132" t="s">
        <v>17</v>
      </c>
      <c r="K132" t="s">
        <v>18</v>
      </c>
      <c r="L132">
        <v>76360264</v>
      </c>
      <c r="M132">
        <v>397443755.81699997</v>
      </c>
      <c r="N132" s="4">
        <f>M132/L132</f>
        <v>5.204850467999953</v>
      </c>
    </row>
    <row r="133" spans="1:14" x14ac:dyDescent="0.2">
      <c r="A133" t="s">
        <v>10</v>
      </c>
      <c r="B133">
        <v>20151201</v>
      </c>
      <c r="C133">
        <v>20160201</v>
      </c>
      <c r="D133" t="s">
        <v>11</v>
      </c>
      <c r="E133" t="s">
        <v>12</v>
      </c>
      <c r="F133" t="s">
        <v>13</v>
      </c>
      <c r="G133" s="2" t="s">
        <v>19</v>
      </c>
      <c r="H133" t="s">
        <v>20</v>
      </c>
      <c r="I133" t="s">
        <v>16</v>
      </c>
      <c r="J133" t="s">
        <v>17</v>
      </c>
      <c r="K133" t="s">
        <v>18</v>
      </c>
      <c r="L133">
        <v>77559301</v>
      </c>
      <c r="M133">
        <v>455950175.25</v>
      </c>
      <c r="N133" s="4">
        <f>M133/L133</f>
        <v>5.8787298153963503</v>
      </c>
    </row>
    <row r="134" spans="1:14" x14ac:dyDescent="0.2">
      <c r="A134" t="s">
        <v>10</v>
      </c>
      <c r="B134">
        <v>20160101</v>
      </c>
      <c r="C134">
        <v>20160301</v>
      </c>
      <c r="D134" t="s">
        <v>11</v>
      </c>
      <c r="E134" t="s">
        <v>12</v>
      </c>
      <c r="F134" t="s">
        <v>13</v>
      </c>
      <c r="G134" s="2" t="s">
        <v>19</v>
      </c>
      <c r="H134" t="s">
        <v>20</v>
      </c>
      <c r="I134" t="s">
        <v>16</v>
      </c>
      <c r="J134" t="s">
        <v>17</v>
      </c>
      <c r="K134" t="s">
        <v>18</v>
      </c>
      <c r="L134">
        <v>61106008</v>
      </c>
      <c r="M134">
        <v>384334671.71399999</v>
      </c>
      <c r="N134" s="4">
        <f>M134/L134</f>
        <v>6.2896380289479881</v>
      </c>
    </row>
    <row r="135" spans="1:14" x14ac:dyDescent="0.2">
      <c r="A135" t="s">
        <v>10</v>
      </c>
      <c r="B135">
        <v>20160201</v>
      </c>
      <c r="C135">
        <v>20160401</v>
      </c>
      <c r="D135" t="s">
        <v>11</v>
      </c>
      <c r="E135" t="s">
        <v>12</v>
      </c>
      <c r="F135" t="s">
        <v>13</v>
      </c>
      <c r="G135" s="2" t="s">
        <v>19</v>
      </c>
      <c r="H135" t="s">
        <v>20</v>
      </c>
      <c r="I135" t="s">
        <v>16</v>
      </c>
      <c r="J135" t="s">
        <v>17</v>
      </c>
      <c r="K135" t="s">
        <v>18</v>
      </c>
      <c r="L135">
        <v>60473114</v>
      </c>
      <c r="M135">
        <v>386802724.14399999</v>
      </c>
      <c r="N135" s="4">
        <f>M135/L135</f>
        <v>6.3962759408090015</v>
      </c>
    </row>
    <row r="136" spans="1:14" x14ac:dyDescent="0.2">
      <c r="A136" t="s">
        <v>10</v>
      </c>
      <c r="B136">
        <v>20160301</v>
      </c>
      <c r="C136">
        <v>20160501</v>
      </c>
      <c r="D136" t="s">
        <v>11</v>
      </c>
      <c r="E136" t="s">
        <v>12</v>
      </c>
      <c r="F136" t="s">
        <v>13</v>
      </c>
      <c r="G136" s="2" t="s">
        <v>19</v>
      </c>
      <c r="H136" t="s">
        <v>20</v>
      </c>
      <c r="I136" t="s">
        <v>16</v>
      </c>
      <c r="J136" t="s">
        <v>17</v>
      </c>
      <c r="K136" t="s">
        <v>18</v>
      </c>
      <c r="L136">
        <v>66613252</v>
      </c>
      <c r="M136">
        <v>462102514.95499998</v>
      </c>
      <c r="N136" s="4">
        <f>M136/L136</f>
        <v>6.9370958642733731</v>
      </c>
    </row>
    <row r="137" spans="1:14" x14ac:dyDescent="0.2">
      <c r="A137" t="s">
        <v>10</v>
      </c>
      <c r="B137">
        <v>20160401</v>
      </c>
      <c r="C137">
        <v>20160601</v>
      </c>
      <c r="D137" t="s">
        <v>11</v>
      </c>
      <c r="E137" t="s">
        <v>12</v>
      </c>
      <c r="F137" t="s">
        <v>13</v>
      </c>
      <c r="G137" s="2" t="s">
        <v>19</v>
      </c>
      <c r="H137" t="s">
        <v>20</v>
      </c>
      <c r="I137" t="s">
        <v>16</v>
      </c>
      <c r="J137" t="s">
        <v>17</v>
      </c>
      <c r="K137" t="s">
        <v>18</v>
      </c>
      <c r="L137">
        <v>67153351</v>
      </c>
      <c r="M137">
        <v>466330715.17900002</v>
      </c>
      <c r="N137" s="4">
        <f>M137/L137</f>
        <v>6.9442657474978429</v>
      </c>
    </row>
    <row r="138" spans="1:14" x14ac:dyDescent="0.2">
      <c r="A138" t="s">
        <v>10</v>
      </c>
      <c r="B138">
        <v>20160501</v>
      </c>
      <c r="C138">
        <v>20160701</v>
      </c>
      <c r="D138" t="s">
        <v>11</v>
      </c>
      <c r="E138" t="s">
        <v>12</v>
      </c>
      <c r="F138" t="s">
        <v>13</v>
      </c>
      <c r="G138" s="2" t="s">
        <v>19</v>
      </c>
      <c r="H138" t="s">
        <v>20</v>
      </c>
      <c r="I138" t="s">
        <v>16</v>
      </c>
      <c r="J138" t="s">
        <v>17</v>
      </c>
      <c r="K138" t="s">
        <v>18</v>
      </c>
      <c r="L138">
        <v>64469663</v>
      </c>
      <c r="M138">
        <v>471389962.611</v>
      </c>
      <c r="N138" s="4">
        <f>M138/L138</f>
        <v>7.3118105582621089</v>
      </c>
    </row>
    <row r="139" spans="1:14" x14ac:dyDescent="0.2">
      <c r="A139" t="s">
        <v>10</v>
      </c>
      <c r="B139">
        <v>20160601</v>
      </c>
      <c r="C139">
        <v>20160801</v>
      </c>
      <c r="D139" t="s">
        <v>11</v>
      </c>
      <c r="E139" t="s">
        <v>12</v>
      </c>
      <c r="F139" t="s">
        <v>13</v>
      </c>
      <c r="G139" s="2" t="s">
        <v>19</v>
      </c>
      <c r="H139" t="s">
        <v>20</v>
      </c>
      <c r="I139" t="s">
        <v>16</v>
      </c>
      <c r="J139" t="s">
        <v>17</v>
      </c>
      <c r="K139" t="s">
        <v>18</v>
      </c>
      <c r="L139">
        <v>59417160</v>
      </c>
      <c r="M139">
        <v>467351629.88599998</v>
      </c>
      <c r="N139" s="4">
        <f>M139/L139</f>
        <v>7.8656002724802061</v>
      </c>
    </row>
    <row r="140" spans="1:14" x14ac:dyDescent="0.2">
      <c r="A140" t="s">
        <v>10</v>
      </c>
      <c r="B140">
        <v>20160701</v>
      </c>
      <c r="C140">
        <v>20160901</v>
      </c>
      <c r="D140" t="s">
        <v>11</v>
      </c>
      <c r="E140" t="s">
        <v>12</v>
      </c>
      <c r="F140" t="s">
        <v>13</v>
      </c>
      <c r="G140" s="2" t="s">
        <v>19</v>
      </c>
      <c r="H140" t="s">
        <v>20</v>
      </c>
      <c r="I140" t="s">
        <v>16</v>
      </c>
      <c r="J140" t="s">
        <v>17</v>
      </c>
      <c r="K140" t="s">
        <v>18</v>
      </c>
      <c r="L140">
        <v>58214648</v>
      </c>
      <c r="M140">
        <v>457136103.80000001</v>
      </c>
      <c r="N140" s="4">
        <f>M140/L140</f>
        <v>7.8525958586917852</v>
      </c>
    </row>
    <row r="141" spans="1:14" x14ac:dyDescent="0.2">
      <c r="A141" t="s">
        <v>10</v>
      </c>
      <c r="B141">
        <v>20160801</v>
      </c>
      <c r="C141">
        <v>20161001</v>
      </c>
      <c r="D141" t="s">
        <v>11</v>
      </c>
      <c r="E141" t="s">
        <v>12</v>
      </c>
      <c r="F141" t="s">
        <v>13</v>
      </c>
      <c r="G141" s="2" t="s">
        <v>19</v>
      </c>
      <c r="H141" t="s">
        <v>20</v>
      </c>
      <c r="I141" t="s">
        <v>16</v>
      </c>
      <c r="J141" t="s">
        <v>17</v>
      </c>
      <c r="K141" t="s">
        <v>18</v>
      </c>
      <c r="L141">
        <v>71714014</v>
      </c>
      <c r="M141">
        <v>502188298.903</v>
      </c>
      <c r="N141" s="4">
        <f>M141/L141</f>
        <v>7.0026522138755194</v>
      </c>
    </row>
    <row r="142" spans="1:14" x14ac:dyDescent="0.2">
      <c r="A142" t="s">
        <v>10</v>
      </c>
      <c r="B142">
        <v>20160901</v>
      </c>
      <c r="C142">
        <v>20161101</v>
      </c>
      <c r="D142" t="s">
        <v>11</v>
      </c>
      <c r="E142" t="s">
        <v>12</v>
      </c>
      <c r="F142" t="s">
        <v>13</v>
      </c>
      <c r="G142" s="2" t="s">
        <v>19</v>
      </c>
      <c r="H142" t="s">
        <v>20</v>
      </c>
      <c r="I142" t="s">
        <v>16</v>
      </c>
      <c r="J142" t="s">
        <v>17</v>
      </c>
      <c r="K142" t="s">
        <v>18</v>
      </c>
      <c r="L142">
        <v>82130699</v>
      </c>
      <c r="M142">
        <v>544520723.64100003</v>
      </c>
      <c r="N142" s="4">
        <f>M142/L142</f>
        <v>6.6299292502186065</v>
      </c>
    </row>
    <row r="143" spans="1:14" x14ac:dyDescent="0.2">
      <c r="A143" t="s">
        <v>10</v>
      </c>
      <c r="B143">
        <v>20161001</v>
      </c>
      <c r="C143">
        <v>20161201</v>
      </c>
      <c r="D143" t="s">
        <v>11</v>
      </c>
      <c r="E143" t="s">
        <v>12</v>
      </c>
      <c r="F143" t="s">
        <v>13</v>
      </c>
      <c r="G143" s="2" t="s">
        <v>19</v>
      </c>
      <c r="H143" t="s">
        <v>20</v>
      </c>
      <c r="I143" t="s">
        <v>16</v>
      </c>
      <c r="J143" t="s">
        <v>17</v>
      </c>
      <c r="K143" t="s">
        <v>18</v>
      </c>
      <c r="L143">
        <v>73444608</v>
      </c>
      <c r="M143">
        <v>540739663.176</v>
      </c>
      <c r="N143" s="4">
        <f>M143/L143</f>
        <v>7.3625508788337459</v>
      </c>
    </row>
    <row r="144" spans="1:14" x14ac:dyDescent="0.2">
      <c r="A144" t="s">
        <v>10</v>
      </c>
      <c r="B144">
        <v>20161101</v>
      </c>
      <c r="C144">
        <v>20170101</v>
      </c>
      <c r="D144" t="s">
        <v>11</v>
      </c>
      <c r="E144" t="s">
        <v>12</v>
      </c>
      <c r="F144" t="s">
        <v>13</v>
      </c>
      <c r="G144" s="2" t="s">
        <v>19</v>
      </c>
      <c r="H144" t="s">
        <v>20</v>
      </c>
      <c r="I144" t="s">
        <v>16</v>
      </c>
      <c r="J144" t="s">
        <v>17</v>
      </c>
      <c r="K144" t="s">
        <v>18</v>
      </c>
      <c r="L144">
        <v>78380781</v>
      </c>
      <c r="M144">
        <v>575159653.98000002</v>
      </c>
      <c r="N144" s="4">
        <f>M144/L144</f>
        <v>7.3380189204800095</v>
      </c>
    </row>
    <row r="145" spans="1:14" x14ac:dyDescent="0.2">
      <c r="A145" t="s">
        <v>10</v>
      </c>
      <c r="B145">
        <v>20161201</v>
      </c>
      <c r="C145">
        <v>20170201</v>
      </c>
      <c r="D145" t="s">
        <v>11</v>
      </c>
      <c r="E145" t="s">
        <v>12</v>
      </c>
      <c r="F145" t="s">
        <v>13</v>
      </c>
      <c r="G145" s="2" t="s">
        <v>19</v>
      </c>
      <c r="H145" t="s">
        <v>20</v>
      </c>
      <c r="I145" t="s">
        <v>16</v>
      </c>
      <c r="J145" t="s">
        <v>17</v>
      </c>
      <c r="K145" t="s">
        <v>18</v>
      </c>
      <c r="L145">
        <v>73031524</v>
      </c>
      <c r="M145">
        <v>589260796.59099996</v>
      </c>
      <c r="N145" s="4">
        <f>M145/L145</f>
        <v>8.0685814059008258</v>
      </c>
    </row>
    <row r="146" spans="1:14" x14ac:dyDescent="0.2">
      <c r="A146" t="s">
        <v>10</v>
      </c>
      <c r="B146">
        <v>20170101</v>
      </c>
      <c r="C146">
        <v>20170301</v>
      </c>
      <c r="D146" t="s">
        <v>11</v>
      </c>
      <c r="E146" t="s">
        <v>12</v>
      </c>
      <c r="F146" t="s">
        <v>13</v>
      </c>
      <c r="G146" s="2" t="s">
        <v>19</v>
      </c>
      <c r="H146" t="s">
        <v>21</v>
      </c>
      <c r="I146" t="s">
        <v>16</v>
      </c>
      <c r="J146" t="s">
        <v>17</v>
      </c>
      <c r="K146" t="s">
        <v>18</v>
      </c>
      <c r="L146">
        <v>57539413</v>
      </c>
      <c r="M146">
        <v>489144168.71499997</v>
      </c>
      <c r="N146" s="4">
        <f>M146/L146</f>
        <v>8.5010281337941347</v>
      </c>
    </row>
    <row r="147" spans="1:14" x14ac:dyDescent="0.2">
      <c r="A147" s="1" t="s">
        <v>10</v>
      </c>
      <c r="B147" s="1">
        <v>20170101</v>
      </c>
      <c r="C147" s="1">
        <v>20170301</v>
      </c>
      <c r="D147" s="1" t="s">
        <v>11</v>
      </c>
      <c r="E147" s="1" t="s">
        <v>12</v>
      </c>
      <c r="F147" s="1" t="s">
        <v>13</v>
      </c>
      <c r="G147" s="3">
        <v>30214</v>
      </c>
      <c r="H147" s="1" t="s">
        <v>21</v>
      </c>
      <c r="I147" s="1" t="s">
        <v>16</v>
      </c>
      <c r="J147" s="1" t="s">
        <v>17</v>
      </c>
      <c r="K147" t="s">
        <v>18</v>
      </c>
      <c r="L147" s="1">
        <v>57539413</v>
      </c>
      <c r="M147" s="1">
        <v>489144169</v>
      </c>
      <c r="N147" s="4">
        <f>M147/L147</f>
        <v>8.5010281387472624</v>
      </c>
    </row>
    <row r="148" spans="1:14" x14ac:dyDescent="0.2">
      <c r="A148" t="s">
        <v>10</v>
      </c>
      <c r="B148">
        <v>20170201</v>
      </c>
      <c r="C148">
        <v>20170401</v>
      </c>
      <c r="D148" t="s">
        <v>11</v>
      </c>
      <c r="E148" t="s">
        <v>12</v>
      </c>
      <c r="F148" t="s">
        <v>13</v>
      </c>
      <c r="G148" s="2" t="s">
        <v>19</v>
      </c>
      <c r="H148" t="s">
        <v>21</v>
      </c>
      <c r="I148" t="s">
        <v>16</v>
      </c>
      <c r="J148" t="s">
        <v>17</v>
      </c>
      <c r="K148" t="s">
        <v>18</v>
      </c>
      <c r="L148">
        <v>59283838</v>
      </c>
      <c r="M148">
        <v>455889093.56400001</v>
      </c>
      <c r="N148" s="4">
        <f>M148/L148</f>
        <v>7.6899389267611182</v>
      </c>
    </row>
    <row r="149" spans="1:14" x14ac:dyDescent="0.2">
      <c r="A149" s="1" t="s">
        <v>10</v>
      </c>
      <c r="B149" s="1">
        <v>20170201</v>
      </c>
      <c r="C149" s="1">
        <v>20170401</v>
      </c>
      <c r="D149" s="1" t="s">
        <v>11</v>
      </c>
      <c r="E149" s="1" t="s">
        <v>12</v>
      </c>
      <c r="F149" s="1" t="s">
        <v>13</v>
      </c>
      <c r="G149" s="3">
        <v>30214</v>
      </c>
      <c r="H149" s="1" t="s">
        <v>21</v>
      </c>
      <c r="I149" s="1" t="s">
        <v>16</v>
      </c>
      <c r="J149" s="1" t="s">
        <v>17</v>
      </c>
      <c r="K149" t="s">
        <v>18</v>
      </c>
      <c r="L149" s="1">
        <v>59283838</v>
      </c>
      <c r="M149" s="1">
        <v>455889094</v>
      </c>
      <c r="N149" s="4">
        <f>M149/L149</f>
        <v>7.6899389341155677</v>
      </c>
    </row>
    <row r="150" spans="1:14" x14ac:dyDescent="0.2">
      <c r="A150" t="s">
        <v>10</v>
      </c>
      <c r="B150">
        <v>20170301</v>
      </c>
      <c r="C150">
        <v>20170501</v>
      </c>
      <c r="D150" t="s">
        <v>11</v>
      </c>
      <c r="E150" t="s">
        <v>12</v>
      </c>
      <c r="F150" t="s">
        <v>13</v>
      </c>
      <c r="G150" s="2" t="s">
        <v>19</v>
      </c>
      <c r="H150" t="s">
        <v>21</v>
      </c>
      <c r="I150" t="s">
        <v>16</v>
      </c>
      <c r="J150" t="s">
        <v>17</v>
      </c>
      <c r="K150" t="s">
        <v>18</v>
      </c>
      <c r="L150">
        <v>74022585</v>
      </c>
      <c r="M150">
        <v>534081328.389</v>
      </c>
      <c r="N150" s="4">
        <f>M150/L150</f>
        <v>7.2151131764582388</v>
      </c>
    </row>
    <row r="151" spans="1:14" x14ac:dyDescent="0.2">
      <c r="A151" s="1" t="s">
        <v>10</v>
      </c>
      <c r="B151" s="1">
        <v>20170301</v>
      </c>
      <c r="C151" s="1">
        <v>20170501</v>
      </c>
      <c r="D151" s="1" t="s">
        <v>11</v>
      </c>
      <c r="E151" s="1" t="s">
        <v>12</v>
      </c>
      <c r="F151" s="1" t="s">
        <v>13</v>
      </c>
      <c r="G151" s="3">
        <v>30214</v>
      </c>
      <c r="H151" s="1" t="s">
        <v>21</v>
      </c>
      <c r="I151" s="1" t="s">
        <v>16</v>
      </c>
      <c r="J151" s="1" t="s">
        <v>17</v>
      </c>
      <c r="K151" t="s">
        <v>18</v>
      </c>
      <c r="L151" s="1">
        <v>74022585</v>
      </c>
      <c r="M151" s="1">
        <v>534081328</v>
      </c>
      <c r="N151" s="4">
        <f>M151/L151</f>
        <v>7.215113171203086</v>
      </c>
    </row>
    <row r="152" spans="1:14" x14ac:dyDescent="0.2">
      <c r="A152" t="s">
        <v>10</v>
      </c>
      <c r="B152">
        <v>20170401</v>
      </c>
      <c r="C152">
        <v>20170601</v>
      </c>
      <c r="D152" t="s">
        <v>11</v>
      </c>
      <c r="E152" t="s">
        <v>12</v>
      </c>
      <c r="F152" t="s">
        <v>13</v>
      </c>
      <c r="G152" s="2" t="s">
        <v>19</v>
      </c>
      <c r="H152" t="s">
        <v>21</v>
      </c>
      <c r="I152" t="s">
        <v>16</v>
      </c>
      <c r="J152" t="s">
        <v>17</v>
      </c>
      <c r="K152" t="s">
        <v>18</v>
      </c>
      <c r="L152">
        <v>59946982</v>
      </c>
      <c r="M152">
        <v>444118037.583</v>
      </c>
      <c r="N152" s="4">
        <f>M152/L152</f>
        <v>7.40851370270817</v>
      </c>
    </row>
    <row r="153" spans="1:14" x14ac:dyDescent="0.2">
      <c r="A153" s="1" t="s">
        <v>10</v>
      </c>
      <c r="B153" s="1">
        <v>20170401</v>
      </c>
      <c r="C153" s="1">
        <v>20170601</v>
      </c>
      <c r="D153" s="1" t="s">
        <v>11</v>
      </c>
      <c r="E153" s="1" t="s">
        <v>12</v>
      </c>
      <c r="F153" s="1" t="s">
        <v>13</v>
      </c>
      <c r="G153" s="3">
        <v>30214</v>
      </c>
      <c r="H153" s="1" t="s">
        <v>21</v>
      </c>
      <c r="I153" s="1" t="s">
        <v>16</v>
      </c>
      <c r="J153" s="1" t="s">
        <v>17</v>
      </c>
      <c r="K153" t="s">
        <v>18</v>
      </c>
      <c r="L153" s="1">
        <v>59946982</v>
      </c>
      <c r="M153" s="1">
        <v>444118038</v>
      </c>
      <c r="N153" s="4">
        <f>M153/L153</f>
        <v>7.4085137096643168</v>
      </c>
    </row>
    <row r="154" spans="1:14" x14ac:dyDescent="0.2">
      <c r="A154" t="s">
        <v>10</v>
      </c>
      <c r="B154">
        <v>20170501</v>
      </c>
      <c r="C154">
        <v>20170701</v>
      </c>
      <c r="D154" t="s">
        <v>11</v>
      </c>
      <c r="E154" t="s">
        <v>12</v>
      </c>
      <c r="F154" t="s">
        <v>13</v>
      </c>
      <c r="G154" s="2" t="s">
        <v>19</v>
      </c>
      <c r="H154" t="s">
        <v>21</v>
      </c>
      <c r="I154" t="s">
        <v>16</v>
      </c>
      <c r="J154" t="s">
        <v>17</v>
      </c>
      <c r="K154" t="s">
        <v>18</v>
      </c>
      <c r="L154">
        <v>59536287</v>
      </c>
      <c r="M154">
        <v>487474912.67799997</v>
      </c>
      <c r="N154" s="4">
        <f>M154/L154</f>
        <v>8.1878621802196019</v>
      </c>
    </row>
    <row r="155" spans="1:14" x14ac:dyDescent="0.2">
      <c r="A155" s="1" t="s">
        <v>10</v>
      </c>
      <c r="B155" s="1">
        <v>20170501</v>
      </c>
      <c r="C155" s="1">
        <v>20170701</v>
      </c>
      <c r="D155" s="1" t="s">
        <v>11</v>
      </c>
      <c r="E155" s="1" t="s">
        <v>12</v>
      </c>
      <c r="F155" s="1" t="s">
        <v>13</v>
      </c>
      <c r="G155" s="3">
        <v>30214</v>
      </c>
      <c r="H155" s="1" t="s">
        <v>21</v>
      </c>
      <c r="I155" s="1" t="s">
        <v>16</v>
      </c>
      <c r="J155" s="1" t="s">
        <v>17</v>
      </c>
      <c r="K155" t="s">
        <v>18</v>
      </c>
      <c r="L155" s="1">
        <v>59536287</v>
      </c>
      <c r="M155" s="1">
        <v>487474913</v>
      </c>
      <c r="N155" s="4">
        <f>M155/L155</f>
        <v>8.1878621856280684</v>
      </c>
    </row>
    <row r="156" spans="1:14" x14ac:dyDescent="0.2">
      <c r="A156" t="s">
        <v>10</v>
      </c>
      <c r="B156">
        <v>20170601</v>
      </c>
      <c r="C156">
        <v>20170801</v>
      </c>
      <c r="D156" t="s">
        <v>11</v>
      </c>
      <c r="E156" t="s">
        <v>12</v>
      </c>
      <c r="F156" t="s">
        <v>13</v>
      </c>
      <c r="G156" s="2" t="s">
        <v>19</v>
      </c>
      <c r="H156" t="s">
        <v>21</v>
      </c>
      <c r="I156" t="s">
        <v>16</v>
      </c>
      <c r="J156" t="s">
        <v>17</v>
      </c>
      <c r="K156" t="s">
        <v>18</v>
      </c>
      <c r="L156">
        <v>60616969</v>
      </c>
      <c r="M156">
        <v>491804010.87900001</v>
      </c>
      <c r="N156" s="4">
        <f>M156/L156</f>
        <v>8.1133058777485232</v>
      </c>
    </row>
    <row r="157" spans="1:14" x14ac:dyDescent="0.2">
      <c r="A157" s="1" t="s">
        <v>10</v>
      </c>
      <c r="B157" s="1">
        <v>20170601</v>
      </c>
      <c r="C157" s="1">
        <v>20170801</v>
      </c>
      <c r="D157" s="1" t="s">
        <v>11</v>
      </c>
      <c r="E157" s="1" t="s">
        <v>12</v>
      </c>
      <c r="F157" s="1" t="s">
        <v>13</v>
      </c>
      <c r="G157" s="3">
        <v>30214</v>
      </c>
      <c r="H157" s="1" t="s">
        <v>21</v>
      </c>
      <c r="I157" s="1" t="s">
        <v>16</v>
      </c>
      <c r="J157" s="1" t="s">
        <v>17</v>
      </c>
      <c r="K157" t="s">
        <v>18</v>
      </c>
      <c r="L157" s="1">
        <v>60616969</v>
      </c>
      <c r="M157" s="1">
        <v>491804011</v>
      </c>
      <c r="N157" s="4">
        <f>M157/L157</f>
        <v>8.1133058797446633</v>
      </c>
    </row>
    <row r="158" spans="1:14" x14ac:dyDescent="0.2">
      <c r="A158" t="s">
        <v>10</v>
      </c>
      <c r="B158">
        <v>20170701</v>
      </c>
      <c r="C158">
        <v>20170901</v>
      </c>
      <c r="D158" t="s">
        <v>11</v>
      </c>
      <c r="E158" t="s">
        <v>12</v>
      </c>
      <c r="F158" t="s">
        <v>13</v>
      </c>
      <c r="G158" s="2" t="s">
        <v>19</v>
      </c>
      <c r="H158" t="s">
        <v>21</v>
      </c>
      <c r="I158" t="s">
        <v>16</v>
      </c>
      <c r="J158" t="s">
        <v>17</v>
      </c>
      <c r="K158" t="s">
        <v>18</v>
      </c>
      <c r="L158">
        <v>63170790</v>
      </c>
      <c r="M158">
        <v>495517738.89499998</v>
      </c>
      <c r="N158" s="4">
        <f>M158/L158</f>
        <v>7.8440959642106733</v>
      </c>
    </row>
    <row r="159" spans="1:14" x14ac:dyDescent="0.2">
      <c r="A159" s="1" t="s">
        <v>10</v>
      </c>
      <c r="B159" s="1">
        <v>20170701</v>
      </c>
      <c r="C159" s="1">
        <v>20170901</v>
      </c>
      <c r="D159" s="1" t="s">
        <v>11</v>
      </c>
      <c r="E159" s="1" t="s">
        <v>12</v>
      </c>
      <c r="F159" s="1" t="s">
        <v>13</v>
      </c>
      <c r="G159" s="3">
        <v>30214</v>
      </c>
      <c r="H159" s="1" t="s">
        <v>21</v>
      </c>
      <c r="I159" s="1" t="s">
        <v>16</v>
      </c>
      <c r="J159" s="1" t="s">
        <v>17</v>
      </c>
      <c r="K159" t="s">
        <v>18</v>
      </c>
      <c r="L159" s="1">
        <v>63170790</v>
      </c>
      <c r="M159" s="1">
        <v>495517739</v>
      </c>
      <c r="N159" s="4">
        <f>M159/L159</f>
        <v>7.8440959658728344</v>
      </c>
    </row>
    <row r="160" spans="1:14" x14ac:dyDescent="0.2">
      <c r="A160" t="s">
        <v>10</v>
      </c>
      <c r="B160">
        <v>20170801</v>
      </c>
      <c r="C160">
        <v>20171001</v>
      </c>
      <c r="D160" t="s">
        <v>11</v>
      </c>
      <c r="E160" t="s">
        <v>12</v>
      </c>
      <c r="F160" t="s">
        <v>13</v>
      </c>
      <c r="G160" s="2" t="s">
        <v>19</v>
      </c>
      <c r="H160" t="s">
        <v>21</v>
      </c>
      <c r="I160" t="s">
        <v>16</v>
      </c>
      <c r="J160" t="s">
        <v>17</v>
      </c>
      <c r="K160" t="s">
        <v>18</v>
      </c>
      <c r="L160">
        <v>76499143</v>
      </c>
      <c r="M160">
        <v>557634856.32299995</v>
      </c>
      <c r="N160" s="4">
        <f>M160/L160</f>
        <v>7.2894261877286644</v>
      </c>
    </row>
    <row r="161" spans="1:14" x14ac:dyDescent="0.2">
      <c r="A161" s="1" t="s">
        <v>10</v>
      </c>
      <c r="B161" s="1">
        <v>20170801</v>
      </c>
      <c r="C161" s="1">
        <v>20171001</v>
      </c>
      <c r="D161" s="1" t="s">
        <v>11</v>
      </c>
      <c r="E161" s="1" t="s">
        <v>12</v>
      </c>
      <c r="F161" s="1" t="s">
        <v>13</v>
      </c>
      <c r="G161" s="3">
        <v>30214</v>
      </c>
      <c r="H161" s="1" t="s">
        <v>21</v>
      </c>
      <c r="I161" s="1" t="s">
        <v>16</v>
      </c>
      <c r="J161" s="1" t="s">
        <v>17</v>
      </c>
      <c r="K161" t="s">
        <v>18</v>
      </c>
      <c r="L161" s="1">
        <v>76499143</v>
      </c>
      <c r="M161" s="1">
        <v>557634856</v>
      </c>
      <c r="N161" s="4">
        <f>M161/L161</f>
        <v>7.2894261835063956</v>
      </c>
    </row>
    <row r="162" spans="1:14" x14ac:dyDescent="0.2">
      <c r="A162" t="s">
        <v>10</v>
      </c>
      <c r="B162">
        <v>20170901</v>
      </c>
      <c r="C162">
        <v>20171101</v>
      </c>
      <c r="D162" t="s">
        <v>11</v>
      </c>
      <c r="E162" t="s">
        <v>12</v>
      </c>
      <c r="F162" t="s">
        <v>13</v>
      </c>
      <c r="G162" s="2" t="s">
        <v>19</v>
      </c>
      <c r="H162" t="s">
        <v>21</v>
      </c>
      <c r="I162" t="s">
        <v>16</v>
      </c>
      <c r="J162" t="s">
        <v>17</v>
      </c>
      <c r="K162" t="s">
        <v>18</v>
      </c>
      <c r="L162">
        <v>81075389</v>
      </c>
      <c r="M162">
        <v>574041990.64400005</v>
      </c>
      <c r="N162" s="4">
        <f>M162/L162</f>
        <v>7.0803482749123789</v>
      </c>
    </row>
    <row r="163" spans="1:14" x14ac:dyDescent="0.2">
      <c r="A163" s="1" t="s">
        <v>10</v>
      </c>
      <c r="B163" s="1">
        <v>20170901</v>
      </c>
      <c r="C163" s="1">
        <v>20171101</v>
      </c>
      <c r="D163" s="1" t="s">
        <v>11</v>
      </c>
      <c r="E163" s="1" t="s">
        <v>12</v>
      </c>
      <c r="F163" s="1" t="s">
        <v>13</v>
      </c>
      <c r="G163" s="3">
        <v>30214</v>
      </c>
      <c r="H163" s="1" t="s">
        <v>21</v>
      </c>
      <c r="I163" s="1" t="s">
        <v>16</v>
      </c>
      <c r="J163" s="1" t="s">
        <v>17</v>
      </c>
      <c r="K163" t="s">
        <v>18</v>
      </c>
      <c r="L163" s="1">
        <v>81075389</v>
      </c>
      <c r="M163" s="1">
        <v>574041991</v>
      </c>
      <c r="N163" s="4">
        <f>M163/L163</f>
        <v>7.0803482793033528</v>
      </c>
    </row>
    <row r="164" spans="1:14" x14ac:dyDescent="0.2">
      <c r="A164" t="s">
        <v>10</v>
      </c>
      <c r="B164">
        <v>20171001</v>
      </c>
      <c r="C164">
        <v>20171201</v>
      </c>
      <c r="D164" t="s">
        <v>11</v>
      </c>
      <c r="E164" t="s">
        <v>12</v>
      </c>
      <c r="F164" t="s">
        <v>13</v>
      </c>
      <c r="G164" s="2" t="s">
        <v>19</v>
      </c>
      <c r="H164" t="s">
        <v>21</v>
      </c>
      <c r="I164" t="s">
        <v>16</v>
      </c>
      <c r="J164" t="s">
        <v>17</v>
      </c>
      <c r="K164" t="s">
        <v>18</v>
      </c>
      <c r="L164">
        <v>81931953</v>
      </c>
      <c r="M164">
        <v>559000757.50999999</v>
      </c>
      <c r="N164" s="4">
        <f>M164/L164</f>
        <v>6.8227442046938638</v>
      </c>
    </row>
    <row r="165" spans="1:14" x14ac:dyDescent="0.2">
      <c r="A165" s="1" t="s">
        <v>10</v>
      </c>
      <c r="B165" s="1">
        <v>20171001</v>
      </c>
      <c r="C165" s="1">
        <v>20171201</v>
      </c>
      <c r="D165" s="1" t="s">
        <v>11</v>
      </c>
      <c r="E165" s="1" t="s">
        <v>12</v>
      </c>
      <c r="F165" s="1" t="s">
        <v>13</v>
      </c>
      <c r="G165" s="3">
        <v>30214</v>
      </c>
      <c r="H165" s="1" t="s">
        <v>21</v>
      </c>
      <c r="I165" s="1" t="s">
        <v>16</v>
      </c>
      <c r="J165" s="1" t="s">
        <v>17</v>
      </c>
      <c r="K165" t="s">
        <v>18</v>
      </c>
      <c r="L165" s="1">
        <v>81931953</v>
      </c>
      <c r="M165" s="1">
        <v>559000758</v>
      </c>
      <c r="N165" s="4">
        <f>M165/L165</f>
        <v>6.8227442106744363</v>
      </c>
    </row>
    <row r="166" spans="1:14" x14ac:dyDescent="0.2">
      <c r="A166" t="s">
        <v>10</v>
      </c>
      <c r="B166">
        <v>20171101</v>
      </c>
      <c r="C166" s="1">
        <v>20170101</v>
      </c>
      <c r="D166" t="s">
        <v>11</v>
      </c>
      <c r="E166" t="s">
        <v>12</v>
      </c>
      <c r="F166" t="s">
        <v>13</v>
      </c>
      <c r="G166" s="2" t="s">
        <v>19</v>
      </c>
      <c r="H166" t="s">
        <v>21</v>
      </c>
      <c r="I166" t="s">
        <v>16</v>
      </c>
      <c r="J166" t="s">
        <v>17</v>
      </c>
      <c r="K166" t="s">
        <v>18</v>
      </c>
      <c r="L166">
        <v>84977607</v>
      </c>
      <c r="M166">
        <v>524085734.76599997</v>
      </c>
      <c r="N166" s="4">
        <f>M166/L166</f>
        <v>6.1673392940566094</v>
      </c>
    </row>
    <row r="167" spans="1:14" x14ac:dyDescent="0.2">
      <c r="A167" s="1" t="s">
        <v>10</v>
      </c>
      <c r="B167" s="1">
        <v>20171101</v>
      </c>
      <c r="C167">
        <v>20180101</v>
      </c>
      <c r="D167" s="1" t="s">
        <v>11</v>
      </c>
      <c r="E167" s="1" t="s">
        <v>12</v>
      </c>
      <c r="F167" s="1" t="s">
        <v>13</v>
      </c>
      <c r="G167" s="3">
        <v>30214</v>
      </c>
      <c r="H167" s="1" t="s">
        <v>21</v>
      </c>
      <c r="I167" s="1" t="s">
        <v>16</v>
      </c>
      <c r="J167" s="1" t="s">
        <v>17</v>
      </c>
      <c r="K167" t="s">
        <v>18</v>
      </c>
      <c r="L167" s="1">
        <v>84977607</v>
      </c>
      <c r="M167" s="1">
        <v>524085735</v>
      </c>
      <c r="N167" s="4">
        <f>M167/L167</f>
        <v>6.167339296810276</v>
      </c>
    </row>
    <row r="168" spans="1:14" x14ac:dyDescent="0.2">
      <c r="A168" t="s">
        <v>10</v>
      </c>
      <c r="B168">
        <v>20171201</v>
      </c>
      <c r="C168" s="1">
        <v>20170201</v>
      </c>
      <c r="D168" t="s">
        <v>11</v>
      </c>
      <c r="E168" t="s">
        <v>12</v>
      </c>
      <c r="F168" t="s">
        <v>13</v>
      </c>
      <c r="G168" s="2" t="s">
        <v>19</v>
      </c>
      <c r="H168" t="s">
        <v>21</v>
      </c>
      <c r="I168" t="s">
        <v>16</v>
      </c>
      <c r="J168" t="s">
        <v>17</v>
      </c>
      <c r="K168" t="s">
        <v>18</v>
      </c>
      <c r="L168">
        <v>82294638</v>
      </c>
      <c r="M168">
        <v>531476392.083</v>
      </c>
      <c r="N168" s="4">
        <f>M168/L168</f>
        <v>6.4582141072544728</v>
      </c>
    </row>
    <row r="169" spans="1:14" x14ac:dyDescent="0.2">
      <c r="A169" s="1" t="s">
        <v>10</v>
      </c>
      <c r="B169" s="1">
        <v>20171201</v>
      </c>
      <c r="C169">
        <v>20180201</v>
      </c>
      <c r="D169" s="1" t="s">
        <v>11</v>
      </c>
      <c r="E169" s="1" t="s">
        <v>12</v>
      </c>
      <c r="F169" s="1" t="s">
        <v>13</v>
      </c>
      <c r="G169" s="3">
        <v>30214</v>
      </c>
      <c r="H169" s="1" t="s">
        <v>21</v>
      </c>
      <c r="I169" s="1" t="s">
        <v>16</v>
      </c>
      <c r="J169" s="1" t="s">
        <v>17</v>
      </c>
      <c r="K169" t="s">
        <v>18</v>
      </c>
      <c r="L169" s="1">
        <v>82294638</v>
      </c>
      <c r="M169" s="1">
        <v>531476392</v>
      </c>
      <c r="N169" s="4">
        <f>M169/L169</f>
        <v>6.4582141062459018</v>
      </c>
    </row>
    <row r="170" spans="1:14" x14ac:dyDescent="0.2">
      <c r="A170" t="s">
        <v>10</v>
      </c>
      <c r="B170">
        <v>20180101</v>
      </c>
      <c r="C170">
        <v>20180301</v>
      </c>
      <c r="D170" t="s">
        <v>11</v>
      </c>
      <c r="E170" t="s">
        <v>12</v>
      </c>
      <c r="F170" t="s">
        <v>13</v>
      </c>
      <c r="G170" s="2" t="s">
        <v>19</v>
      </c>
      <c r="H170" t="s">
        <v>21</v>
      </c>
      <c r="I170" t="s">
        <v>16</v>
      </c>
      <c r="J170" t="s">
        <v>17</v>
      </c>
      <c r="K170" t="s">
        <v>18</v>
      </c>
      <c r="L170">
        <v>72723583</v>
      </c>
      <c r="M170">
        <v>523874163.403</v>
      </c>
      <c r="N170" s="4">
        <f>M170/L170</f>
        <v>7.2036352142192994</v>
      </c>
    </row>
    <row r="171" spans="1:14" x14ac:dyDescent="0.2">
      <c r="A171" t="s">
        <v>10</v>
      </c>
      <c r="B171">
        <v>20180201</v>
      </c>
      <c r="C171">
        <v>20180401</v>
      </c>
      <c r="D171" t="s">
        <v>11</v>
      </c>
      <c r="E171" t="s">
        <v>12</v>
      </c>
      <c r="F171" t="s">
        <v>13</v>
      </c>
      <c r="G171" s="2" t="s">
        <v>19</v>
      </c>
      <c r="H171" t="s">
        <v>21</v>
      </c>
      <c r="I171" t="s">
        <v>16</v>
      </c>
      <c r="J171" t="s">
        <v>17</v>
      </c>
      <c r="K171" t="s">
        <v>18</v>
      </c>
      <c r="L171">
        <v>62777771</v>
      </c>
      <c r="M171">
        <v>467731118.52399999</v>
      </c>
      <c r="N171" s="4">
        <f>M171/L171</f>
        <v>7.4505849932773174</v>
      </c>
    </row>
    <row r="172" spans="1:14" x14ac:dyDescent="0.2">
      <c r="A172" t="s">
        <v>10</v>
      </c>
      <c r="B172">
        <v>20180301</v>
      </c>
      <c r="C172">
        <v>20180501</v>
      </c>
      <c r="D172" t="s">
        <v>11</v>
      </c>
      <c r="E172" t="s">
        <v>12</v>
      </c>
      <c r="F172" t="s">
        <v>13</v>
      </c>
      <c r="G172" s="2" t="s">
        <v>19</v>
      </c>
      <c r="H172" t="s">
        <v>21</v>
      </c>
      <c r="I172" t="s">
        <v>16</v>
      </c>
      <c r="J172" t="s">
        <v>17</v>
      </c>
      <c r="K172" t="s">
        <v>18</v>
      </c>
      <c r="L172">
        <v>71793209</v>
      </c>
      <c r="M172">
        <v>623494996.454</v>
      </c>
      <c r="N172" s="4">
        <f>M172/L172</f>
        <v>8.6845957318052189</v>
      </c>
    </row>
    <row r="173" spans="1:14" x14ac:dyDescent="0.2">
      <c r="A173" t="s">
        <v>10</v>
      </c>
      <c r="B173">
        <v>20180401</v>
      </c>
      <c r="C173">
        <v>20180601</v>
      </c>
      <c r="D173" t="s">
        <v>11</v>
      </c>
      <c r="E173" t="s">
        <v>12</v>
      </c>
      <c r="F173" t="s">
        <v>13</v>
      </c>
      <c r="G173" s="2" t="s">
        <v>19</v>
      </c>
      <c r="H173" t="s">
        <v>21</v>
      </c>
      <c r="I173" t="s">
        <v>16</v>
      </c>
      <c r="J173" t="s">
        <v>17</v>
      </c>
      <c r="K173" t="s">
        <v>18</v>
      </c>
      <c r="L173">
        <v>61097238</v>
      </c>
      <c r="M173">
        <v>533771142.96899998</v>
      </c>
      <c r="N173" s="4">
        <f>M173/L173</f>
        <v>8.7364201794031988</v>
      </c>
    </row>
    <row r="174" spans="1:14" x14ac:dyDescent="0.2">
      <c r="A174" t="s">
        <v>10</v>
      </c>
      <c r="B174">
        <v>20180501</v>
      </c>
      <c r="C174">
        <v>20180701</v>
      </c>
      <c r="D174" t="s">
        <v>11</v>
      </c>
      <c r="E174" t="s">
        <v>12</v>
      </c>
      <c r="F174" t="s">
        <v>13</v>
      </c>
      <c r="G174" s="2" t="s">
        <v>19</v>
      </c>
      <c r="H174" t="s">
        <v>21</v>
      </c>
      <c r="I174" t="s">
        <v>16</v>
      </c>
      <c r="J174" t="s">
        <v>17</v>
      </c>
      <c r="K174" t="s">
        <v>18</v>
      </c>
      <c r="L174">
        <v>67180423</v>
      </c>
      <c r="M174">
        <v>606855489.53600001</v>
      </c>
      <c r="N174" s="4">
        <f>M174/L174</f>
        <v>9.0332192391226833</v>
      </c>
    </row>
    <row r="175" spans="1:14" x14ac:dyDescent="0.2">
      <c r="A175" t="s">
        <v>10</v>
      </c>
      <c r="B175">
        <v>20180601</v>
      </c>
      <c r="C175">
        <v>20180801</v>
      </c>
      <c r="D175" t="s">
        <v>11</v>
      </c>
      <c r="E175" t="s">
        <v>12</v>
      </c>
      <c r="F175" t="s">
        <v>13</v>
      </c>
      <c r="G175" s="2" t="s">
        <v>19</v>
      </c>
      <c r="H175" t="s">
        <v>21</v>
      </c>
      <c r="I175" t="s">
        <v>16</v>
      </c>
      <c r="J175" t="s">
        <v>17</v>
      </c>
      <c r="K175" t="s">
        <v>18</v>
      </c>
      <c r="L175">
        <v>71064774</v>
      </c>
      <c r="M175">
        <v>541150835.22000003</v>
      </c>
      <c r="N175" s="4">
        <f>M175/L175</f>
        <v>7.6148956052403687</v>
      </c>
    </row>
    <row r="176" spans="1:14" x14ac:dyDescent="0.2">
      <c r="A176" t="s">
        <v>10</v>
      </c>
      <c r="B176">
        <v>20180701</v>
      </c>
      <c r="C176">
        <v>20180901</v>
      </c>
      <c r="D176" t="s">
        <v>11</v>
      </c>
      <c r="E176" t="s">
        <v>12</v>
      </c>
      <c r="F176" t="s">
        <v>13</v>
      </c>
      <c r="G176" s="2" t="s">
        <v>19</v>
      </c>
      <c r="H176" t="s">
        <v>21</v>
      </c>
      <c r="I176" t="s">
        <v>16</v>
      </c>
      <c r="J176" t="s">
        <v>17</v>
      </c>
      <c r="K176" t="s">
        <v>18</v>
      </c>
      <c r="L176">
        <v>74648679</v>
      </c>
      <c r="M176">
        <v>517891569.028</v>
      </c>
      <c r="N176" s="4">
        <f>M176/L176</f>
        <v>6.9377191393835647</v>
      </c>
    </row>
    <row r="177" spans="1:14" x14ac:dyDescent="0.2">
      <c r="A177" t="s">
        <v>10</v>
      </c>
      <c r="B177">
        <v>20180801</v>
      </c>
      <c r="C177">
        <v>20181001</v>
      </c>
      <c r="D177" t="s">
        <v>11</v>
      </c>
      <c r="E177" t="s">
        <v>12</v>
      </c>
      <c r="F177" t="s">
        <v>13</v>
      </c>
      <c r="G177" s="2" t="s">
        <v>19</v>
      </c>
      <c r="H177" t="s">
        <v>21</v>
      </c>
      <c r="I177" t="s">
        <v>16</v>
      </c>
      <c r="J177" t="s">
        <v>17</v>
      </c>
      <c r="K177" t="s">
        <v>18</v>
      </c>
      <c r="L177">
        <v>84127199</v>
      </c>
      <c r="M177">
        <v>561054000.74800003</v>
      </c>
      <c r="N177" s="4">
        <f>M177/L177</f>
        <v>6.6691154277940479</v>
      </c>
    </row>
    <row r="178" spans="1:14" x14ac:dyDescent="0.2">
      <c r="A178" t="s">
        <v>10</v>
      </c>
      <c r="B178">
        <v>20180901</v>
      </c>
      <c r="C178">
        <v>20181101</v>
      </c>
      <c r="D178" t="s">
        <v>11</v>
      </c>
      <c r="E178" t="s">
        <v>12</v>
      </c>
      <c r="F178" t="s">
        <v>13</v>
      </c>
      <c r="G178" s="2" t="s">
        <v>19</v>
      </c>
      <c r="H178" t="s">
        <v>21</v>
      </c>
      <c r="I178" t="s">
        <v>16</v>
      </c>
      <c r="J178" t="s">
        <v>17</v>
      </c>
      <c r="K178" t="s">
        <v>18</v>
      </c>
      <c r="L178">
        <v>74513232</v>
      </c>
      <c r="M178">
        <v>550559323.28799999</v>
      </c>
      <c r="N178" s="4">
        <f>M178/L178</f>
        <v>7.3887457101310545</v>
      </c>
    </row>
    <row r="179" spans="1:14" x14ac:dyDescent="0.2">
      <c r="A179" t="s">
        <v>10</v>
      </c>
      <c r="B179">
        <v>20181001</v>
      </c>
      <c r="C179">
        <v>20181201</v>
      </c>
      <c r="D179" t="s">
        <v>11</v>
      </c>
      <c r="E179" t="s">
        <v>12</v>
      </c>
      <c r="F179" t="s">
        <v>13</v>
      </c>
      <c r="G179" s="2" t="s">
        <v>19</v>
      </c>
      <c r="H179" t="s">
        <v>21</v>
      </c>
      <c r="I179" t="s">
        <v>16</v>
      </c>
      <c r="J179" t="s">
        <v>17</v>
      </c>
      <c r="K179" t="s">
        <v>18</v>
      </c>
      <c r="L179">
        <v>87261939</v>
      </c>
      <c r="M179">
        <v>617283571.49100006</v>
      </c>
      <c r="N179" s="4">
        <f>M179/L179</f>
        <v>7.0739153698040109</v>
      </c>
    </row>
    <row r="180" spans="1:14" x14ac:dyDescent="0.2">
      <c r="A180" t="s">
        <v>10</v>
      </c>
      <c r="B180">
        <v>20181101</v>
      </c>
      <c r="C180">
        <v>20190101</v>
      </c>
      <c r="D180" t="s">
        <v>11</v>
      </c>
      <c r="E180" t="s">
        <v>12</v>
      </c>
      <c r="F180" t="s">
        <v>13</v>
      </c>
      <c r="G180" s="2" t="s">
        <v>19</v>
      </c>
      <c r="H180" t="s">
        <v>21</v>
      </c>
      <c r="I180" t="s">
        <v>16</v>
      </c>
      <c r="J180" t="s">
        <v>17</v>
      </c>
      <c r="K180" t="s">
        <v>18</v>
      </c>
      <c r="L180">
        <v>85215224</v>
      </c>
      <c r="M180">
        <v>564199767.84000003</v>
      </c>
      <c r="N180" s="4">
        <f>M180/L180</f>
        <v>6.6208799479304314</v>
      </c>
    </row>
    <row r="181" spans="1:14" x14ac:dyDescent="0.2">
      <c r="A181" t="s">
        <v>10</v>
      </c>
      <c r="B181">
        <v>20181201</v>
      </c>
      <c r="C181">
        <v>20190201</v>
      </c>
      <c r="D181" t="s">
        <v>11</v>
      </c>
      <c r="E181" t="s">
        <v>12</v>
      </c>
      <c r="F181" t="s">
        <v>13</v>
      </c>
      <c r="G181" s="2" t="s">
        <v>19</v>
      </c>
      <c r="H181" t="s">
        <v>21</v>
      </c>
      <c r="I181" t="s">
        <v>16</v>
      </c>
      <c r="J181" t="s">
        <v>17</v>
      </c>
      <c r="K181" t="s">
        <v>18</v>
      </c>
      <c r="L181">
        <v>78289357</v>
      </c>
      <c r="M181">
        <v>542441686.61600006</v>
      </c>
      <c r="N181" s="4">
        <f>M181/L181</f>
        <v>6.92867724812199</v>
      </c>
    </row>
    <row r="182" spans="1:14" x14ac:dyDescent="0.2">
      <c r="A182" t="s">
        <v>10</v>
      </c>
      <c r="B182">
        <v>20190101</v>
      </c>
      <c r="C182">
        <v>20190301</v>
      </c>
      <c r="D182" t="s">
        <v>11</v>
      </c>
      <c r="E182" t="s">
        <v>12</v>
      </c>
      <c r="F182" t="s">
        <v>13</v>
      </c>
      <c r="G182" s="2" t="s">
        <v>19</v>
      </c>
      <c r="H182" t="s">
        <v>21</v>
      </c>
      <c r="I182" t="s">
        <v>16</v>
      </c>
      <c r="J182" t="s">
        <v>17</v>
      </c>
      <c r="K182" t="s">
        <v>18</v>
      </c>
      <c r="L182">
        <v>71523552</v>
      </c>
      <c r="M182">
        <v>522076419.73799998</v>
      </c>
      <c r="N182" s="4">
        <f>M182/L182</f>
        <v>7.2993637080272524</v>
      </c>
    </row>
    <row r="183" spans="1:14" x14ac:dyDescent="0.2">
      <c r="A183" t="s">
        <v>10</v>
      </c>
      <c r="B183">
        <v>20190201</v>
      </c>
      <c r="C183">
        <v>20190401</v>
      </c>
      <c r="D183" t="s">
        <v>11</v>
      </c>
      <c r="E183" t="s">
        <v>12</v>
      </c>
      <c r="F183" t="s">
        <v>13</v>
      </c>
      <c r="G183" s="2" t="s">
        <v>19</v>
      </c>
      <c r="H183" t="s">
        <v>21</v>
      </c>
      <c r="I183" t="s">
        <v>16</v>
      </c>
      <c r="J183" t="s">
        <v>17</v>
      </c>
      <c r="K183" t="s">
        <v>18</v>
      </c>
      <c r="L183">
        <v>67331291</v>
      </c>
      <c r="M183">
        <v>462005217.83099997</v>
      </c>
      <c r="N183" s="4">
        <f>M183/L183</f>
        <v>6.8616717572072092</v>
      </c>
    </row>
    <row r="184" spans="1:14" x14ac:dyDescent="0.2">
      <c r="A184" t="s">
        <v>10</v>
      </c>
      <c r="B184">
        <v>20190301</v>
      </c>
      <c r="C184">
        <v>20190501</v>
      </c>
      <c r="D184" t="s">
        <v>11</v>
      </c>
      <c r="E184" t="s">
        <v>12</v>
      </c>
      <c r="F184" t="s">
        <v>13</v>
      </c>
      <c r="G184" s="2" t="s">
        <v>19</v>
      </c>
      <c r="H184" t="s">
        <v>21</v>
      </c>
      <c r="I184" t="s">
        <v>16</v>
      </c>
      <c r="J184" t="s">
        <v>17</v>
      </c>
      <c r="K184" t="s">
        <v>18</v>
      </c>
      <c r="L184">
        <v>67919145</v>
      </c>
      <c r="M184">
        <v>543042213.90499997</v>
      </c>
      <c r="N184" s="4">
        <f>M184/L184</f>
        <v>7.9954218196504092</v>
      </c>
    </row>
    <row r="185" spans="1:14" x14ac:dyDescent="0.2">
      <c r="A185" t="s">
        <v>10</v>
      </c>
      <c r="B185">
        <v>20190401</v>
      </c>
      <c r="C185">
        <v>20190601</v>
      </c>
      <c r="D185" t="s">
        <v>11</v>
      </c>
      <c r="E185" t="s">
        <v>12</v>
      </c>
      <c r="F185" t="s">
        <v>13</v>
      </c>
      <c r="G185" s="2" t="s">
        <v>19</v>
      </c>
      <c r="H185" t="s">
        <v>21</v>
      </c>
      <c r="I185" t="s">
        <v>16</v>
      </c>
      <c r="J185" t="s">
        <v>17</v>
      </c>
      <c r="K185" t="s">
        <v>18</v>
      </c>
      <c r="L185">
        <v>71609200</v>
      </c>
      <c r="M185">
        <v>571821538.301</v>
      </c>
      <c r="N185" s="4">
        <f>M185/L185</f>
        <v>7.9853082886137532</v>
      </c>
    </row>
    <row r="186" spans="1:14" x14ac:dyDescent="0.2">
      <c r="A186" t="s">
        <v>10</v>
      </c>
      <c r="B186">
        <v>20190501</v>
      </c>
      <c r="C186">
        <v>20190701</v>
      </c>
      <c r="D186" t="s">
        <v>11</v>
      </c>
      <c r="E186" t="s">
        <v>12</v>
      </c>
      <c r="F186" t="s">
        <v>13</v>
      </c>
      <c r="G186" s="2" t="s">
        <v>19</v>
      </c>
      <c r="H186" t="s">
        <v>21</v>
      </c>
      <c r="I186" t="s">
        <v>16</v>
      </c>
      <c r="J186" t="s">
        <v>17</v>
      </c>
      <c r="K186" t="s">
        <v>18</v>
      </c>
      <c r="L186">
        <v>75586975</v>
      </c>
      <c r="M186">
        <v>537176465.38499999</v>
      </c>
      <c r="N186" s="4">
        <f>M186/L186</f>
        <v>7.1067332087968857</v>
      </c>
    </row>
    <row r="187" spans="1:14" x14ac:dyDescent="0.2">
      <c r="A187" t="s">
        <v>10</v>
      </c>
      <c r="B187">
        <v>20190601</v>
      </c>
      <c r="C187">
        <v>20190801</v>
      </c>
      <c r="D187" t="s">
        <v>11</v>
      </c>
      <c r="E187" t="s">
        <v>12</v>
      </c>
      <c r="F187" t="s">
        <v>13</v>
      </c>
      <c r="G187" s="2" t="s">
        <v>19</v>
      </c>
      <c r="H187" t="s">
        <v>21</v>
      </c>
      <c r="I187" t="s">
        <v>16</v>
      </c>
      <c r="J187" t="s">
        <v>17</v>
      </c>
      <c r="K187" t="s">
        <v>18</v>
      </c>
      <c r="L187">
        <v>68177089</v>
      </c>
      <c r="M187">
        <v>503402292.162</v>
      </c>
      <c r="N187" s="4">
        <f>M187/L187</f>
        <v>7.3837457648272427</v>
      </c>
    </row>
    <row r="188" spans="1:14" x14ac:dyDescent="0.2">
      <c r="A188" t="s">
        <v>10</v>
      </c>
      <c r="B188">
        <v>20190701</v>
      </c>
      <c r="C188">
        <v>20190901</v>
      </c>
      <c r="D188" t="s">
        <v>11</v>
      </c>
      <c r="E188" t="s">
        <v>12</v>
      </c>
      <c r="F188" t="s">
        <v>13</v>
      </c>
      <c r="G188" s="2" t="s">
        <v>19</v>
      </c>
      <c r="H188" t="s">
        <v>21</v>
      </c>
      <c r="I188" t="s">
        <v>16</v>
      </c>
      <c r="J188" t="s">
        <v>17</v>
      </c>
      <c r="K188" t="s">
        <v>18</v>
      </c>
      <c r="L188">
        <v>76572731</v>
      </c>
      <c r="M188">
        <v>530081935.27999997</v>
      </c>
      <c r="N188" s="4">
        <f>M188/L188</f>
        <v>6.9225940926672704</v>
      </c>
    </row>
    <row r="189" spans="1:14" x14ac:dyDescent="0.2">
      <c r="A189" t="s">
        <v>10</v>
      </c>
      <c r="B189">
        <v>20190801</v>
      </c>
      <c r="C189">
        <v>20191001</v>
      </c>
      <c r="D189" t="s">
        <v>11</v>
      </c>
      <c r="E189" t="s">
        <v>12</v>
      </c>
      <c r="F189" t="s">
        <v>13</v>
      </c>
      <c r="G189" s="2" t="s">
        <v>19</v>
      </c>
      <c r="H189" t="s">
        <v>21</v>
      </c>
      <c r="I189" t="s">
        <v>16</v>
      </c>
      <c r="J189" t="s">
        <v>17</v>
      </c>
      <c r="K189" t="s">
        <v>18</v>
      </c>
      <c r="L189">
        <v>87994274</v>
      </c>
      <c r="M189">
        <v>532305077.84899998</v>
      </c>
      <c r="N189" s="4">
        <f>M189/L189</f>
        <v>6.0493149571186864</v>
      </c>
    </row>
    <row r="190" spans="1:14" x14ac:dyDescent="0.2">
      <c r="A190" t="s">
        <v>10</v>
      </c>
      <c r="B190">
        <v>20190901</v>
      </c>
      <c r="C190">
        <v>20191101</v>
      </c>
      <c r="D190" t="s">
        <v>11</v>
      </c>
      <c r="E190" t="s">
        <v>12</v>
      </c>
      <c r="F190" t="s">
        <v>13</v>
      </c>
      <c r="G190" s="2" t="s">
        <v>19</v>
      </c>
      <c r="H190" t="s">
        <v>21</v>
      </c>
      <c r="I190" t="s">
        <v>16</v>
      </c>
      <c r="J190" t="s">
        <v>17</v>
      </c>
      <c r="K190" t="s">
        <v>18</v>
      </c>
      <c r="L190">
        <v>90449138</v>
      </c>
      <c r="M190">
        <v>500178953.35699999</v>
      </c>
      <c r="N190" s="4">
        <f>M190/L190</f>
        <v>5.5299471550187684</v>
      </c>
    </row>
    <row r="191" spans="1:14" x14ac:dyDescent="0.2">
      <c r="A191" t="s">
        <v>10</v>
      </c>
      <c r="B191">
        <v>20191001</v>
      </c>
      <c r="C191">
        <v>20191201</v>
      </c>
      <c r="D191" t="s">
        <v>11</v>
      </c>
      <c r="E191" t="s">
        <v>12</v>
      </c>
      <c r="F191" t="s">
        <v>13</v>
      </c>
      <c r="G191" s="2" t="s">
        <v>19</v>
      </c>
      <c r="H191" t="s">
        <v>21</v>
      </c>
      <c r="I191" t="s">
        <v>16</v>
      </c>
      <c r="J191" t="s">
        <v>17</v>
      </c>
      <c r="K191" t="s">
        <v>18</v>
      </c>
      <c r="L191">
        <v>96876563</v>
      </c>
      <c r="M191">
        <v>549237581.73899996</v>
      </c>
      <c r="N191" s="4">
        <f>M191/L191</f>
        <v>5.6694577587253994</v>
      </c>
    </row>
    <row r="192" spans="1:14" x14ac:dyDescent="0.2">
      <c r="A192" t="s">
        <v>10</v>
      </c>
      <c r="B192">
        <v>20191101</v>
      </c>
      <c r="C192">
        <v>20200101</v>
      </c>
      <c r="D192" t="s">
        <v>11</v>
      </c>
      <c r="E192" t="s">
        <v>12</v>
      </c>
      <c r="F192" t="s">
        <v>13</v>
      </c>
      <c r="G192" s="2" t="s">
        <v>19</v>
      </c>
      <c r="H192" t="s">
        <v>21</v>
      </c>
      <c r="I192" t="s">
        <v>16</v>
      </c>
      <c r="J192" t="s">
        <v>17</v>
      </c>
      <c r="K192" t="s">
        <v>18</v>
      </c>
      <c r="L192">
        <v>89645922</v>
      </c>
      <c r="M192">
        <v>578534041.31400001</v>
      </c>
      <c r="N192" s="4">
        <f>M192/L192</f>
        <v>6.4535455535166451</v>
      </c>
    </row>
    <row r="193" spans="1:14" x14ac:dyDescent="0.2">
      <c r="A193" t="s">
        <v>10</v>
      </c>
      <c r="B193">
        <v>20191201</v>
      </c>
      <c r="C193">
        <v>20200201</v>
      </c>
      <c r="D193" t="s">
        <v>11</v>
      </c>
      <c r="E193" t="s">
        <v>12</v>
      </c>
      <c r="F193" t="s">
        <v>13</v>
      </c>
      <c r="G193" s="2" t="s">
        <v>19</v>
      </c>
      <c r="H193" t="s">
        <v>21</v>
      </c>
      <c r="I193" t="s">
        <v>16</v>
      </c>
      <c r="J193" t="s">
        <v>17</v>
      </c>
      <c r="K193" t="s">
        <v>18</v>
      </c>
      <c r="L193">
        <v>75654739</v>
      </c>
      <c r="M193">
        <v>588432430.23199999</v>
      </c>
      <c r="N193" s="4">
        <f>M193/L193</f>
        <v>7.7778661060743328</v>
      </c>
    </row>
    <row r="194" spans="1:14" x14ac:dyDescent="0.2">
      <c r="A194" t="s">
        <v>10</v>
      </c>
      <c r="B194">
        <v>20200101</v>
      </c>
      <c r="C194">
        <v>20200301</v>
      </c>
      <c r="D194" t="s">
        <v>11</v>
      </c>
      <c r="E194" t="s">
        <v>12</v>
      </c>
      <c r="F194" t="s">
        <v>13</v>
      </c>
      <c r="G194" s="2" t="s">
        <v>19</v>
      </c>
      <c r="H194" t="s">
        <v>21</v>
      </c>
      <c r="I194" t="s">
        <v>16</v>
      </c>
      <c r="J194" t="s">
        <v>17</v>
      </c>
      <c r="K194" t="s">
        <v>18</v>
      </c>
      <c r="L194">
        <v>71350633</v>
      </c>
      <c r="M194">
        <v>602139343.82500005</v>
      </c>
      <c r="N194" s="4">
        <f>M194/L194</f>
        <v>8.4391591007328568</v>
      </c>
    </row>
    <row r="195" spans="1:14" x14ac:dyDescent="0.2">
      <c r="A195" t="s">
        <v>10</v>
      </c>
      <c r="B195">
        <v>20200201</v>
      </c>
      <c r="C195">
        <v>20200401</v>
      </c>
      <c r="D195" t="s">
        <v>11</v>
      </c>
      <c r="E195" t="s">
        <v>12</v>
      </c>
      <c r="F195" t="s">
        <v>13</v>
      </c>
      <c r="G195" s="2" t="s">
        <v>19</v>
      </c>
      <c r="H195" t="s">
        <v>21</v>
      </c>
      <c r="I195" t="s">
        <v>16</v>
      </c>
      <c r="J195" t="s">
        <v>17</v>
      </c>
      <c r="K195" t="s">
        <v>18</v>
      </c>
      <c r="L195">
        <v>65119431</v>
      </c>
      <c r="M195">
        <v>474331322.67799997</v>
      </c>
      <c r="N195" s="4">
        <f>M195/L195</f>
        <v>7.2840213035338097</v>
      </c>
    </row>
    <row r="196" spans="1:14" x14ac:dyDescent="0.2">
      <c r="A196" t="s">
        <v>10</v>
      </c>
      <c r="B196">
        <v>20200301</v>
      </c>
      <c r="C196">
        <v>20200501</v>
      </c>
      <c r="D196" t="s">
        <v>11</v>
      </c>
      <c r="E196" t="s">
        <v>12</v>
      </c>
      <c r="F196" t="s">
        <v>13</v>
      </c>
      <c r="G196" s="2" t="s">
        <v>19</v>
      </c>
      <c r="H196" t="s">
        <v>21</v>
      </c>
      <c r="I196" t="s">
        <v>16</v>
      </c>
      <c r="J196" t="s">
        <v>17</v>
      </c>
      <c r="K196" t="s">
        <v>18</v>
      </c>
      <c r="L196">
        <v>69015516</v>
      </c>
      <c r="M196">
        <v>428704760.58999997</v>
      </c>
      <c r="N196" s="4">
        <f>M196/L196</f>
        <v>6.211715646522153</v>
      </c>
    </row>
    <row r="197" spans="1:14" x14ac:dyDescent="0.2">
      <c r="A197" t="s">
        <v>10</v>
      </c>
      <c r="B197">
        <v>20200401</v>
      </c>
      <c r="C197">
        <v>20200601</v>
      </c>
      <c r="D197" t="s">
        <v>11</v>
      </c>
      <c r="E197" t="s">
        <v>12</v>
      </c>
      <c r="F197" t="s">
        <v>13</v>
      </c>
      <c r="G197" s="2" t="s">
        <v>19</v>
      </c>
      <c r="H197" t="s">
        <v>21</v>
      </c>
      <c r="I197" t="s">
        <v>16</v>
      </c>
      <c r="J197" t="s">
        <v>17</v>
      </c>
      <c r="K197" t="s">
        <v>18</v>
      </c>
      <c r="L197">
        <v>66934390</v>
      </c>
      <c r="M197">
        <v>366986673.50999999</v>
      </c>
      <c r="N197" s="4">
        <f>M197/L197</f>
        <v>5.4827820722650937</v>
      </c>
    </row>
    <row r="198" spans="1:14" x14ac:dyDescent="0.2">
      <c r="A198" t="s">
        <v>10</v>
      </c>
      <c r="B198">
        <v>20200501</v>
      </c>
      <c r="C198">
        <v>20200701</v>
      </c>
      <c r="D198" t="s">
        <v>11</v>
      </c>
      <c r="E198" t="s">
        <v>12</v>
      </c>
      <c r="F198" t="s">
        <v>13</v>
      </c>
      <c r="G198" s="2" t="s">
        <v>19</v>
      </c>
      <c r="H198" t="s">
        <v>21</v>
      </c>
      <c r="I198" t="s">
        <v>16</v>
      </c>
      <c r="J198" t="s">
        <v>17</v>
      </c>
      <c r="K198" t="s">
        <v>18</v>
      </c>
      <c r="L198">
        <v>67171618</v>
      </c>
      <c r="M198">
        <v>403351203.50700003</v>
      </c>
      <c r="N198" s="4">
        <f>M198/L198</f>
        <v>6.004786180779508</v>
      </c>
    </row>
    <row r="199" spans="1:14" x14ac:dyDescent="0.2">
      <c r="A199" t="s">
        <v>10</v>
      </c>
      <c r="B199">
        <v>20200601</v>
      </c>
      <c r="C199">
        <v>20200801</v>
      </c>
      <c r="D199" t="s">
        <v>11</v>
      </c>
      <c r="E199" t="s">
        <v>12</v>
      </c>
      <c r="F199" t="s">
        <v>13</v>
      </c>
      <c r="G199" s="2" t="s">
        <v>19</v>
      </c>
      <c r="H199" t="s">
        <v>21</v>
      </c>
      <c r="I199" t="s">
        <v>16</v>
      </c>
      <c r="J199" t="s">
        <v>17</v>
      </c>
      <c r="K199" t="s">
        <v>18</v>
      </c>
      <c r="L199">
        <v>66626001</v>
      </c>
      <c r="M199">
        <v>452022203.60299999</v>
      </c>
      <c r="N199" s="4">
        <f>M199/L199</f>
        <v>6.7844714798806551</v>
      </c>
    </row>
    <row r="200" spans="1:14" x14ac:dyDescent="0.2">
      <c r="A200" t="s">
        <v>10</v>
      </c>
      <c r="B200">
        <v>20200701</v>
      </c>
      <c r="C200">
        <v>20200901</v>
      </c>
      <c r="D200" t="s">
        <v>11</v>
      </c>
      <c r="E200" t="s">
        <v>12</v>
      </c>
      <c r="F200" t="s">
        <v>13</v>
      </c>
      <c r="G200" s="2" t="s">
        <v>19</v>
      </c>
      <c r="H200" t="s">
        <v>21</v>
      </c>
      <c r="I200" t="s">
        <v>16</v>
      </c>
      <c r="J200" t="s">
        <v>17</v>
      </c>
      <c r="K200" t="s">
        <v>18</v>
      </c>
      <c r="L200">
        <v>78494895</v>
      </c>
      <c r="M200">
        <v>459464994.45300001</v>
      </c>
      <c r="N200" s="4">
        <f>M200/L200</f>
        <v>5.8534379140579782</v>
      </c>
    </row>
    <row r="201" spans="1:14" x14ac:dyDescent="0.2">
      <c r="A201" t="s">
        <v>10</v>
      </c>
      <c r="B201">
        <v>20200801</v>
      </c>
      <c r="C201">
        <v>20201001</v>
      </c>
      <c r="D201" t="s">
        <v>11</v>
      </c>
      <c r="E201" t="s">
        <v>12</v>
      </c>
      <c r="F201" t="s">
        <v>13</v>
      </c>
      <c r="G201" s="2" t="s">
        <v>19</v>
      </c>
      <c r="H201" t="s">
        <v>21</v>
      </c>
      <c r="I201" t="s">
        <v>16</v>
      </c>
      <c r="J201" t="s">
        <v>17</v>
      </c>
      <c r="K201" t="s">
        <v>18</v>
      </c>
      <c r="L201">
        <v>77872252</v>
      </c>
      <c r="M201">
        <v>441131177.34399998</v>
      </c>
      <c r="N201" s="4">
        <f>M201/L201</f>
        <v>5.6648057043990452</v>
      </c>
    </row>
    <row r="202" spans="1:14" x14ac:dyDescent="0.2">
      <c r="A202" t="s">
        <v>10</v>
      </c>
      <c r="B202">
        <v>20200901</v>
      </c>
      <c r="C202">
        <v>20201101</v>
      </c>
      <c r="D202" t="s">
        <v>11</v>
      </c>
      <c r="E202" t="s">
        <v>12</v>
      </c>
      <c r="F202" t="s">
        <v>13</v>
      </c>
      <c r="G202" s="2" t="s">
        <v>19</v>
      </c>
      <c r="H202" t="s">
        <v>21</v>
      </c>
      <c r="I202" t="s">
        <v>16</v>
      </c>
      <c r="J202" t="s">
        <v>17</v>
      </c>
      <c r="K202" t="s">
        <v>18</v>
      </c>
      <c r="L202">
        <v>92609088</v>
      </c>
      <c r="M202">
        <v>501810835.07800001</v>
      </c>
      <c r="N202" s="4">
        <f>M202/L202</f>
        <v>5.4185916945645767</v>
      </c>
    </row>
    <row r="203" spans="1:14" x14ac:dyDescent="0.2">
      <c r="A203" t="s">
        <v>10</v>
      </c>
      <c r="B203">
        <v>20201001</v>
      </c>
      <c r="C203">
        <v>20201201</v>
      </c>
      <c r="D203" t="s">
        <v>11</v>
      </c>
      <c r="E203" t="s">
        <v>12</v>
      </c>
      <c r="F203" t="s">
        <v>13</v>
      </c>
      <c r="G203" s="2" t="s">
        <v>19</v>
      </c>
      <c r="H203" t="s">
        <v>21</v>
      </c>
      <c r="I203" t="s">
        <v>16</v>
      </c>
      <c r="J203" t="s">
        <v>17</v>
      </c>
      <c r="K203" t="s">
        <v>18</v>
      </c>
      <c r="L203">
        <v>99256517</v>
      </c>
      <c r="M203">
        <v>519187884.25999999</v>
      </c>
      <c r="N203" s="4">
        <f>M203/L203</f>
        <v>5.2307687187935477</v>
      </c>
    </row>
    <row r="204" spans="1:14" x14ac:dyDescent="0.2">
      <c r="A204" t="s">
        <v>10</v>
      </c>
      <c r="B204">
        <v>20201101</v>
      </c>
      <c r="C204">
        <v>20210101</v>
      </c>
      <c r="D204" t="s">
        <v>11</v>
      </c>
      <c r="E204" t="s">
        <v>12</v>
      </c>
      <c r="F204" t="s">
        <v>13</v>
      </c>
      <c r="G204" s="2" t="s">
        <v>19</v>
      </c>
      <c r="H204" t="s">
        <v>21</v>
      </c>
      <c r="I204" t="s">
        <v>16</v>
      </c>
      <c r="J204" t="s">
        <v>17</v>
      </c>
      <c r="K204" t="s">
        <v>18</v>
      </c>
      <c r="L204">
        <v>88253658</v>
      </c>
      <c r="M204">
        <v>464093730.65100002</v>
      </c>
      <c r="N204" s="4">
        <f>M204/L204</f>
        <v>5.2586344993314613</v>
      </c>
    </row>
    <row r="205" spans="1:14" x14ac:dyDescent="0.2">
      <c r="A205" t="s">
        <v>10</v>
      </c>
      <c r="B205">
        <v>20201201</v>
      </c>
      <c r="C205">
        <v>20210201</v>
      </c>
      <c r="D205" t="s">
        <v>11</v>
      </c>
      <c r="E205" t="s">
        <v>12</v>
      </c>
      <c r="F205" t="s">
        <v>13</v>
      </c>
      <c r="G205" s="2" t="s">
        <v>19</v>
      </c>
      <c r="H205" t="s">
        <v>21</v>
      </c>
      <c r="I205" t="s">
        <v>16</v>
      </c>
      <c r="J205" t="s">
        <v>17</v>
      </c>
      <c r="K205" t="s">
        <v>18</v>
      </c>
      <c r="L205">
        <v>95861784</v>
      </c>
      <c r="M205">
        <v>524398147.68800002</v>
      </c>
      <c r="N205" s="4">
        <f>M205/L205</f>
        <v>5.4703566510717136</v>
      </c>
    </row>
    <row r="206" spans="1:14" x14ac:dyDescent="0.2">
      <c r="A206" t="s">
        <v>10</v>
      </c>
      <c r="B206">
        <v>20210101</v>
      </c>
      <c r="C206">
        <v>20210301</v>
      </c>
      <c r="D206" t="s">
        <v>11</v>
      </c>
      <c r="E206" t="s">
        <v>12</v>
      </c>
      <c r="F206" t="s">
        <v>13</v>
      </c>
      <c r="G206" s="2" t="s">
        <v>19</v>
      </c>
      <c r="H206" t="s">
        <v>21</v>
      </c>
      <c r="I206" t="s">
        <v>16</v>
      </c>
      <c r="J206" t="s">
        <v>17</v>
      </c>
      <c r="K206" t="s">
        <v>18</v>
      </c>
      <c r="L206">
        <v>77272391</v>
      </c>
      <c r="M206">
        <v>442051795.86900002</v>
      </c>
      <c r="N206" s="4">
        <f>M206/L206</f>
        <v>5.7206951946006175</v>
      </c>
    </row>
    <row r="207" spans="1:14" x14ac:dyDescent="0.2">
      <c r="A207" t="s">
        <v>10</v>
      </c>
      <c r="B207">
        <v>20210201</v>
      </c>
      <c r="C207">
        <v>20210401</v>
      </c>
      <c r="D207" t="s">
        <v>11</v>
      </c>
      <c r="E207" t="s">
        <v>12</v>
      </c>
      <c r="F207" t="s">
        <v>13</v>
      </c>
      <c r="G207" s="2" t="s">
        <v>19</v>
      </c>
      <c r="H207" t="s">
        <v>21</v>
      </c>
      <c r="I207" t="s">
        <v>16</v>
      </c>
      <c r="J207" t="s">
        <v>17</v>
      </c>
      <c r="K207" t="s">
        <v>18</v>
      </c>
      <c r="L207">
        <v>74874378</v>
      </c>
      <c r="M207">
        <v>450576690.60000002</v>
      </c>
      <c r="N207" s="4">
        <f>M207/L207</f>
        <v>6.0177687299118539</v>
      </c>
    </row>
    <row r="208" spans="1:14" x14ac:dyDescent="0.2">
      <c r="A208" t="s">
        <v>10</v>
      </c>
      <c r="B208">
        <v>20210301</v>
      </c>
      <c r="C208">
        <v>20210501</v>
      </c>
      <c r="D208" t="s">
        <v>11</v>
      </c>
      <c r="E208" t="s">
        <v>12</v>
      </c>
      <c r="F208" t="s">
        <v>13</v>
      </c>
      <c r="G208" s="2" t="s">
        <v>19</v>
      </c>
      <c r="H208" t="s">
        <v>21</v>
      </c>
      <c r="I208" t="s">
        <v>16</v>
      </c>
      <c r="J208" t="s">
        <v>17</v>
      </c>
      <c r="K208" t="s">
        <v>18</v>
      </c>
      <c r="L208">
        <v>83657148</v>
      </c>
      <c r="M208">
        <v>610739776.40999997</v>
      </c>
      <c r="N208" s="4">
        <f>M208/L208</f>
        <v>7.3005091735855014</v>
      </c>
    </row>
    <row r="209" spans="1:14" x14ac:dyDescent="0.2">
      <c r="A209" t="s">
        <v>10</v>
      </c>
      <c r="B209">
        <v>20210401</v>
      </c>
      <c r="C209">
        <v>20210601</v>
      </c>
      <c r="D209" t="s">
        <v>11</v>
      </c>
      <c r="E209" t="s">
        <v>12</v>
      </c>
      <c r="F209" t="s">
        <v>13</v>
      </c>
      <c r="G209" s="2" t="s">
        <v>19</v>
      </c>
      <c r="H209" t="s">
        <v>21</v>
      </c>
      <c r="I209" t="s">
        <v>16</v>
      </c>
      <c r="J209" t="s">
        <v>17</v>
      </c>
      <c r="K209" t="s">
        <v>18</v>
      </c>
      <c r="L209">
        <v>65390002</v>
      </c>
      <c r="M209">
        <v>493230150.25599998</v>
      </c>
      <c r="N209" s="4">
        <f>M209/L209</f>
        <v>7.542898534488498</v>
      </c>
    </row>
    <row r="210" spans="1:14" x14ac:dyDescent="0.2">
      <c r="A210" t="s">
        <v>10</v>
      </c>
      <c r="B210">
        <v>20210501</v>
      </c>
      <c r="C210">
        <v>20210701</v>
      </c>
      <c r="D210" t="s">
        <v>11</v>
      </c>
      <c r="E210" t="s">
        <v>12</v>
      </c>
      <c r="F210" t="s">
        <v>13</v>
      </c>
      <c r="G210" s="2" t="s">
        <v>19</v>
      </c>
      <c r="H210" t="s">
        <v>21</v>
      </c>
      <c r="I210" t="s">
        <v>16</v>
      </c>
      <c r="J210" t="s">
        <v>17</v>
      </c>
      <c r="K210" t="s">
        <v>18</v>
      </c>
      <c r="L210">
        <v>62902151</v>
      </c>
      <c r="M210">
        <v>505088092.61400002</v>
      </c>
      <c r="N210" s="4">
        <f>M210/L210</f>
        <v>8.0297427764274705</v>
      </c>
    </row>
    <row r="211" spans="1:14" x14ac:dyDescent="0.2">
      <c r="A211" t="s">
        <v>10</v>
      </c>
      <c r="B211">
        <v>20210601</v>
      </c>
      <c r="C211">
        <v>20210801</v>
      </c>
      <c r="D211" t="s">
        <v>11</v>
      </c>
      <c r="E211" t="s">
        <v>12</v>
      </c>
      <c r="F211" t="s">
        <v>13</v>
      </c>
      <c r="G211" s="2" t="s">
        <v>19</v>
      </c>
      <c r="H211" t="s">
        <v>21</v>
      </c>
      <c r="I211" t="s">
        <v>16</v>
      </c>
      <c r="J211" t="s">
        <v>17</v>
      </c>
      <c r="K211" t="s">
        <v>18</v>
      </c>
      <c r="L211">
        <v>78354272</v>
      </c>
      <c r="M211">
        <v>554064772.51800001</v>
      </c>
      <c r="N211" s="4">
        <f>M211/L211</f>
        <v>7.0712771413152815</v>
      </c>
    </row>
    <row r="212" spans="1:14" x14ac:dyDescent="0.2">
      <c r="A212" t="s">
        <v>10</v>
      </c>
      <c r="B212">
        <v>20210701</v>
      </c>
      <c r="C212">
        <v>20210901</v>
      </c>
      <c r="D212" t="s">
        <v>11</v>
      </c>
      <c r="E212" t="s">
        <v>12</v>
      </c>
      <c r="F212" t="s">
        <v>13</v>
      </c>
      <c r="G212" s="2" t="s">
        <v>19</v>
      </c>
      <c r="H212" t="s">
        <v>21</v>
      </c>
      <c r="I212" t="s">
        <v>16</v>
      </c>
      <c r="J212" t="s">
        <v>17</v>
      </c>
      <c r="K212" t="s">
        <v>18</v>
      </c>
      <c r="L212">
        <v>83331400</v>
      </c>
      <c r="M212">
        <v>594907083.42299998</v>
      </c>
      <c r="N212" s="4">
        <f>M212/L212</f>
        <v>7.1390506270505476</v>
      </c>
    </row>
    <row r="213" spans="1:14" x14ac:dyDescent="0.2">
      <c r="A213" t="s">
        <v>10</v>
      </c>
      <c r="B213">
        <v>20210801</v>
      </c>
      <c r="C213">
        <v>20211001</v>
      </c>
      <c r="D213" t="s">
        <v>11</v>
      </c>
      <c r="E213" t="s">
        <v>12</v>
      </c>
      <c r="F213" t="s">
        <v>13</v>
      </c>
      <c r="G213" s="2" t="s">
        <v>19</v>
      </c>
      <c r="H213" t="s">
        <v>21</v>
      </c>
      <c r="I213" t="s">
        <v>16</v>
      </c>
      <c r="J213" t="s">
        <v>17</v>
      </c>
      <c r="K213" t="s">
        <v>18</v>
      </c>
      <c r="L213">
        <v>94431959</v>
      </c>
      <c r="M213">
        <v>605986469.43900001</v>
      </c>
      <c r="N213" s="4">
        <f>M213/L213</f>
        <v>6.4171756665452637</v>
      </c>
    </row>
    <row r="214" spans="1:14" x14ac:dyDescent="0.2">
      <c r="A214" t="s">
        <v>10</v>
      </c>
      <c r="B214">
        <v>20210901</v>
      </c>
      <c r="C214">
        <v>20211101</v>
      </c>
      <c r="D214" t="s">
        <v>11</v>
      </c>
      <c r="E214" t="s">
        <v>12</v>
      </c>
      <c r="F214" t="s">
        <v>13</v>
      </c>
      <c r="G214" s="2" t="s">
        <v>19</v>
      </c>
      <c r="H214" t="s">
        <v>21</v>
      </c>
      <c r="I214" t="s">
        <v>16</v>
      </c>
      <c r="J214" t="s">
        <v>17</v>
      </c>
      <c r="K214" t="s">
        <v>18</v>
      </c>
      <c r="L214">
        <v>113395119</v>
      </c>
      <c r="M214">
        <v>695154804.88</v>
      </c>
      <c r="N214" s="4">
        <f>M214/L214</f>
        <v>6.1303767835015899</v>
      </c>
    </row>
    <row r="215" spans="1:14" x14ac:dyDescent="0.2">
      <c r="A215" t="s">
        <v>10</v>
      </c>
      <c r="B215">
        <v>20211001</v>
      </c>
      <c r="C215">
        <v>20211201</v>
      </c>
      <c r="D215" t="s">
        <v>11</v>
      </c>
      <c r="E215" t="s">
        <v>12</v>
      </c>
      <c r="F215" t="s">
        <v>13</v>
      </c>
      <c r="G215" s="2" t="s">
        <v>19</v>
      </c>
      <c r="H215" t="s">
        <v>21</v>
      </c>
      <c r="I215" t="s">
        <v>16</v>
      </c>
      <c r="J215" t="s">
        <v>17</v>
      </c>
      <c r="K215" t="s">
        <v>18</v>
      </c>
      <c r="L215">
        <v>105457174</v>
      </c>
      <c r="M215">
        <v>715928997.08599997</v>
      </c>
      <c r="N215" s="4">
        <f>M215/L215</f>
        <v>6.7888126519111918</v>
      </c>
    </row>
    <row r="216" spans="1:14" x14ac:dyDescent="0.2">
      <c r="A216" t="s">
        <v>10</v>
      </c>
      <c r="B216">
        <v>20211101</v>
      </c>
      <c r="C216">
        <v>20220101</v>
      </c>
      <c r="D216" t="s">
        <v>11</v>
      </c>
      <c r="E216" t="s">
        <v>12</v>
      </c>
      <c r="F216" t="s">
        <v>13</v>
      </c>
      <c r="G216" s="2" t="s">
        <v>19</v>
      </c>
      <c r="H216" t="s">
        <v>21</v>
      </c>
      <c r="I216" t="s">
        <v>16</v>
      </c>
      <c r="J216" t="s">
        <v>17</v>
      </c>
      <c r="K216" t="s">
        <v>18</v>
      </c>
      <c r="L216">
        <v>104742475</v>
      </c>
      <c r="M216">
        <v>695486304.11000001</v>
      </c>
      <c r="N216" s="4">
        <f>M216/L216</f>
        <v>6.6399643899000864</v>
      </c>
    </row>
    <row r="217" spans="1:14" x14ac:dyDescent="0.2">
      <c r="A217" t="s">
        <v>10</v>
      </c>
      <c r="B217">
        <v>20211201</v>
      </c>
      <c r="C217">
        <v>20220201</v>
      </c>
      <c r="D217" t="s">
        <v>11</v>
      </c>
      <c r="E217" t="s">
        <v>12</v>
      </c>
      <c r="F217" t="s">
        <v>13</v>
      </c>
      <c r="G217" s="2" t="s">
        <v>19</v>
      </c>
      <c r="H217" t="s">
        <v>21</v>
      </c>
      <c r="I217" t="s">
        <v>16</v>
      </c>
      <c r="J217" t="s">
        <v>17</v>
      </c>
      <c r="K217" t="s">
        <v>18</v>
      </c>
      <c r="L217">
        <v>96922099</v>
      </c>
      <c r="M217">
        <v>731632411.204</v>
      </c>
      <c r="N217" s="4">
        <f>M217/L217</f>
        <v>7.5486645331938176</v>
      </c>
    </row>
    <row r="218" spans="1:14" x14ac:dyDescent="0.2">
      <c r="A218" t="s">
        <v>10</v>
      </c>
      <c r="B218">
        <v>20220101</v>
      </c>
      <c r="C218">
        <v>20220301</v>
      </c>
      <c r="D218" t="s">
        <v>11</v>
      </c>
      <c r="E218" t="s">
        <v>12</v>
      </c>
      <c r="F218" t="s">
        <v>13</v>
      </c>
      <c r="G218" s="2" t="s">
        <v>19</v>
      </c>
      <c r="H218" t="s">
        <v>21</v>
      </c>
      <c r="I218" t="s">
        <v>16</v>
      </c>
      <c r="J218" t="s">
        <v>17</v>
      </c>
      <c r="K218" t="s">
        <v>18</v>
      </c>
      <c r="L218">
        <v>73790108</v>
      </c>
      <c r="M218">
        <v>590420779.551</v>
      </c>
      <c r="N218" s="4">
        <f>M218/L218</f>
        <v>8.0013540507489154</v>
      </c>
    </row>
    <row r="219" spans="1:14" x14ac:dyDescent="0.2">
      <c r="A219" t="s">
        <v>10</v>
      </c>
      <c r="B219">
        <v>20220201</v>
      </c>
      <c r="C219">
        <v>20220401</v>
      </c>
      <c r="D219" t="s">
        <v>11</v>
      </c>
      <c r="E219" t="s">
        <v>12</v>
      </c>
      <c r="F219" t="s">
        <v>13</v>
      </c>
      <c r="G219" s="2" t="s">
        <v>19</v>
      </c>
      <c r="H219" t="s">
        <v>21</v>
      </c>
      <c r="I219" t="s">
        <v>16</v>
      </c>
      <c r="J219" t="s">
        <v>17</v>
      </c>
      <c r="K219" t="s">
        <v>18</v>
      </c>
      <c r="L219">
        <v>69674961</v>
      </c>
      <c r="M219">
        <v>645733220.32000005</v>
      </c>
      <c r="N219" s="4">
        <f>M219/L219</f>
        <v>9.2677944996625126</v>
      </c>
    </row>
    <row r="220" spans="1:14" x14ac:dyDescent="0.2">
      <c r="A220" t="s">
        <v>10</v>
      </c>
      <c r="B220">
        <v>20220301</v>
      </c>
      <c r="C220">
        <v>20220501</v>
      </c>
      <c r="D220" t="s">
        <v>11</v>
      </c>
      <c r="E220" t="s">
        <v>12</v>
      </c>
      <c r="F220" t="s">
        <v>13</v>
      </c>
      <c r="G220" s="2" t="s">
        <v>19</v>
      </c>
      <c r="H220" t="s">
        <v>21</v>
      </c>
      <c r="I220" t="s">
        <v>16</v>
      </c>
      <c r="J220" t="s">
        <v>17</v>
      </c>
      <c r="K220" t="s">
        <v>18</v>
      </c>
      <c r="L220">
        <v>75454623</v>
      </c>
      <c r="M220">
        <v>701388943.13999999</v>
      </c>
      <c r="N220" s="4">
        <f>M220/L220</f>
        <v>9.2955065608107272</v>
      </c>
    </row>
    <row r="221" spans="1:14" x14ac:dyDescent="0.2">
      <c r="A221" t="s">
        <v>10</v>
      </c>
      <c r="B221">
        <v>20220401</v>
      </c>
      <c r="C221">
        <v>20220601</v>
      </c>
      <c r="D221" t="s">
        <v>11</v>
      </c>
      <c r="E221" t="s">
        <v>12</v>
      </c>
      <c r="F221" t="s">
        <v>13</v>
      </c>
      <c r="G221" s="2" t="s">
        <v>19</v>
      </c>
      <c r="H221" t="s">
        <v>21</v>
      </c>
      <c r="I221" t="s">
        <v>16</v>
      </c>
      <c r="J221" t="s">
        <v>17</v>
      </c>
      <c r="K221" t="s">
        <v>18</v>
      </c>
      <c r="L221">
        <v>62101332</v>
      </c>
      <c r="M221">
        <v>678253495.37300003</v>
      </c>
      <c r="N221" s="4">
        <f>M221/L221</f>
        <v>10.921722184203714</v>
      </c>
    </row>
    <row r="222" spans="1:14" x14ac:dyDescent="0.2">
      <c r="A222" t="s">
        <v>10</v>
      </c>
      <c r="B222">
        <v>20220501</v>
      </c>
      <c r="C222">
        <v>20220701</v>
      </c>
      <c r="D222" t="s">
        <v>11</v>
      </c>
      <c r="E222" t="s">
        <v>12</v>
      </c>
      <c r="F222" t="s">
        <v>13</v>
      </c>
      <c r="G222" s="2" t="s">
        <v>19</v>
      </c>
      <c r="H222" t="s">
        <v>21</v>
      </c>
      <c r="I222" t="s">
        <v>16</v>
      </c>
      <c r="J222" t="s">
        <v>17</v>
      </c>
      <c r="K222" t="s">
        <v>18</v>
      </c>
      <c r="L222">
        <v>62931079</v>
      </c>
      <c r="M222">
        <v>644773516.926</v>
      </c>
      <c r="N222" s="4">
        <f>M222/L222</f>
        <v>10.245708911585641</v>
      </c>
    </row>
    <row r="223" spans="1:14" x14ac:dyDescent="0.2">
      <c r="A223" t="s">
        <v>10</v>
      </c>
      <c r="B223">
        <v>20220601</v>
      </c>
      <c r="C223">
        <v>20220801</v>
      </c>
      <c r="D223" t="s">
        <v>11</v>
      </c>
      <c r="E223" t="s">
        <v>12</v>
      </c>
      <c r="F223" t="s">
        <v>13</v>
      </c>
      <c r="G223" s="2" t="s">
        <v>19</v>
      </c>
      <c r="H223" t="s">
        <v>21</v>
      </c>
      <c r="I223" t="s">
        <v>16</v>
      </c>
      <c r="J223" t="s">
        <v>17</v>
      </c>
      <c r="K223" t="s">
        <v>18</v>
      </c>
      <c r="L223">
        <v>67063074</v>
      </c>
      <c r="M223">
        <v>663671830.20599997</v>
      </c>
      <c r="N223" s="4">
        <f>M223/L223</f>
        <v>9.8962333609401796</v>
      </c>
    </row>
    <row r="224" spans="1:14" x14ac:dyDescent="0.2">
      <c r="A224" t="s">
        <v>10</v>
      </c>
      <c r="B224">
        <v>20220701</v>
      </c>
      <c r="C224">
        <v>20220901</v>
      </c>
      <c r="D224" t="s">
        <v>11</v>
      </c>
      <c r="E224" t="s">
        <v>12</v>
      </c>
      <c r="F224" t="s">
        <v>13</v>
      </c>
      <c r="G224" s="2" t="s">
        <v>19</v>
      </c>
      <c r="H224" t="s">
        <v>21</v>
      </c>
      <c r="I224" t="s">
        <v>16</v>
      </c>
      <c r="J224" t="s">
        <v>17</v>
      </c>
      <c r="K224" t="s">
        <v>18</v>
      </c>
      <c r="L224">
        <v>77468880</v>
      </c>
      <c r="M224">
        <v>650190741.29999995</v>
      </c>
      <c r="N224" s="4">
        <f>M224/L224</f>
        <v>8.3929281190072711</v>
      </c>
    </row>
    <row r="225" spans="1:14" x14ac:dyDescent="0.2">
      <c r="A225" t="s">
        <v>10</v>
      </c>
      <c r="B225">
        <v>20220801</v>
      </c>
      <c r="C225">
        <v>20221001</v>
      </c>
      <c r="D225" t="s">
        <v>11</v>
      </c>
      <c r="E225" t="s">
        <v>12</v>
      </c>
      <c r="F225" t="s">
        <v>13</v>
      </c>
      <c r="G225" s="2" t="s">
        <v>19</v>
      </c>
      <c r="H225" t="s">
        <v>21</v>
      </c>
      <c r="I225" t="s">
        <v>16</v>
      </c>
      <c r="J225" t="s">
        <v>17</v>
      </c>
      <c r="K225" t="s">
        <v>18</v>
      </c>
      <c r="L225">
        <v>95990344</v>
      </c>
      <c r="M225">
        <v>686988973.148</v>
      </c>
      <c r="N225" s="4">
        <f>M225/L225</f>
        <v>7.1568549972901438</v>
      </c>
    </row>
    <row r="226" spans="1:14" x14ac:dyDescent="0.2">
      <c r="A226" t="s">
        <v>10</v>
      </c>
      <c r="B226">
        <v>20220901</v>
      </c>
      <c r="C226">
        <v>20221101</v>
      </c>
      <c r="D226" t="s">
        <v>11</v>
      </c>
      <c r="E226" t="s">
        <v>12</v>
      </c>
      <c r="F226" t="s">
        <v>13</v>
      </c>
      <c r="G226" s="2" t="s">
        <v>19</v>
      </c>
      <c r="H226" t="s">
        <v>21</v>
      </c>
      <c r="I226" t="s">
        <v>16</v>
      </c>
      <c r="J226" t="s">
        <v>17</v>
      </c>
      <c r="K226" t="s">
        <v>18</v>
      </c>
      <c r="L226">
        <v>113453869</v>
      </c>
      <c r="M226">
        <v>705450064.41400003</v>
      </c>
      <c r="N226" s="4">
        <f>M226/L226</f>
        <v>6.2179462951060751</v>
      </c>
    </row>
    <row r="227" spans="1:14" x14ac:dyDescent="0.2">
      <c r="A227" t="s">
        <v>10</v>
      </c>
      <c r="B227">
        <v>20221001</v>
      </c>
      <c r="C227">
        <v>20221201</v>
      </c>
      <c r="D227" t="s">
        <v>11</v>
      </c>
      <c r="E227" t="s">
        <v>12</v>
      </c>
      <c r="F227" t="s">
        <v>13</v>
      </c>
      <c r="G227" s="2" t="s">
        <v>19</v>
      </c>
      <c r="H227" t="s">
        <v>21</v>
      </c>
      <c r="I227" t="s">
        <v>16</v>
      </c>
      <c r="J227" t="s">
        <v>17</v>
      </c>
      <c r="K227" t="s">
        <v>18</v>
      </c>
      <c r="L227">
        <v>105797673</v>
      </c>
      <c r="M227">
        <v>711007956.09599996</v>
      </c>
      <c r="N227" s="4">
        <f>M227/L227</f>
        <v>6.7204498542798756</v>
      </c>
    </row>
    <row r="228" spans="1:14" x14ac:dyDescent="0.2">
      <c r="A228" t="s">
        <v>10</v>
      </c>
      <c r="B228">
        <v>20221101</v>
      </c>
      <c r="C228">
        <v>20230101</v>
      </c>
      <c r="D228" t="s">
        <v>11</v>
      </c>
      <c r="E228" t="s">
        <v>12</v>
      </c>
      <c r="F228" t="s">
        <v>13</v>
      </c>
      <c r="G228" s="2" t="s">
        <v>19</v>
      </c>
      <c r="H228" t="s">
        <v>21</v>
      </c>
      <c r="I228" t="s">
        <v>16</v>
      </c>
      <c r="J228" t="s">
        <v>17</v>
      </c>
      <c r="K228" t="s">
        <v>18</v>
      </c>
      <c r="L228">
        <v>100316481</v>
      </c>
      <c r="M228">
        <v>720435107.84500003</v>
      </c>
      <c r="N228" s="4">
        <f>M228/L228</f>
        <v>7.1816226074058562</v>
      </c>
    </row>
    <row r="229" spans="1:14" x14ac:dyDescent="0.2">
      <c r="A229" t="s">
        <v>10</v>
      </c>
      <c r="B229">
        <v>20221201</v>
      </c>
      <c r="C229">
        <v>20230201</v>
      </c>
      <c r="D229" t="s">
        <v>11</v>
      </c>
      <c r="E229" t="s">
        <v>12</v>
      </c>
      <c r="F229" t="s">
        <v>13</v>
      </c>
      <c r="G229" s="2" t="s">
        <v>19</v>
      </c>
      <c r="H229" t="s">
        <v>21</v>
      </c>
      <c r="I229" t="s">
        <v>16</v>
      </c>
      <c r="J229" t="s">
        <v>17</v>
      </c>
      <c r="K229" t="s">
        <v>18</v>
      </c>
      <c r="L229">
        <v>91360279</v>
      </c>
      <c r="M229">
        <v>729347240.09300005</v>
      </c>
      <c r="N229" s="4">
        <f>M229/L229</f>
        <v>7.9831984761451968</v>
      </c>
    </row>
    <row r="230" spans="1:14" x14ac:dyDescent="0.2">
      <c r="A230" t="s">
        <v>10</v>
      </c>
      <c r="B230">
        <v>20230101</v>
      </c>
      <c r="C230">
        <v>20230301</v>
      </c>
      <c r="D230" t="s">
        <v>11</v>
      </c>
      <c r="E230" t="s">
        <v>12</v>
      </c>
      <c r="F230" t="s">
        <v>13</v>
      </c>
      <c r="G230" s="2" t="s">
        <v>19</v>
      </c>
      <c r="H230" t="s">
        <v>21</v>
      </c>
      <c r="I230" t="s">
        <v>16</v>
      </c>
      <c r="J230" t="s">
        <v>17</v>
      </c>
      <c r="K230" t="s">
        <v>18</v>
      </c>
      <c r="L230">
        <v>68017878</v>
      </c>
      <c r="M230">
        <v>635435086.10800004</v>
      </c>
      <c r="N230" s="4">
        <f>M230/L230</f>
        <v>9.3421774508754893</v>
      </c>
    </row>
    <row r="231" spans="1:14" x14ac:dyDescent="0.2">
      <c r="A231" t="s">
        <v>10</v>
      </c>
      <c r="B231">
        <v>20230201</v>
      </c>
      <c r="C231">
        <v>20230401</v>
      </c>
      <c r="D231" t="s">
        <v>11</v>
      </c>
      <c r="E231" t="s">
        <v>12</v>
      </c>
      <c r="F231" t="s">
        <v>13</v>
      </c>
      <c r="G231" s="2" t="s">
        <v>19</v>
      </c>
      <c r="H231" t="s">
        <v>21</v>
      </c>
      <c r="I231" t="s">
        <v>16</v>
      </c>
      <c r="J231" t="s">
        <v>17</v>
      </c>
      <c r="K231" t="s">
        <v>18</v>
      </c>
      <c r="L231">
        <v>61050432</v>
      </c>
      <c r="M231">
        <v>608354873.18599999</v>
      </c>
      <c r="N231" s="4">
        <f>M231/L231</f>
        <v>9.9647922751144495</v>
      </c>
    </row>
    <row r="232" spans="1:14" x14ac:dyDescent="0.2">
      <c r="A232" t="s">
        <v>10</v>
      </c>
      <c r="B232">
        <v>20230301</v>
      </c>
      <c r="C232">
        <v>20230501</v>
      </c>
      <c r="D232" t="s">
        <v>11</v>
      </c>
      <c r="E232" t="s">
        <v>12</v>
      </c>
      <c r="F232" t="s">
        <v>13</v>
      </c>
      <c r="G232" s="2" t="s">
        <v>19</v>
      </c>
      <c r="H232" t="s">
        <v>21</v>
      </c>
      <c r="I232" t="s">
        <v>16</v>
      </c>
      <c r="J232" t="s">
        <v>17</v>
      </c>
      <c r="K232" t="s">
        <v>18</v>
      </c>
      <c r="L232">
        <v>69536354</v>
      </c>
      <c r="M232">
        <v>775985443.50600004</v>
      </c>
      <c r="N232" s="4">
        <f>M232/L232</f>
        <v>11.159420919681812</v>
      </c>
    </row>
    <row r="233" spans="1:14" x14ac:dyDescent="0.2">
      <c r="A233" t="s">
        <v>10</v>
      </c>
      <c r="B233">
        <v>20230401</v>
      </c>
      <c r="C233">
        <v>20230601</v>
      </c>
      <c r="D233" t="s">
        <v>11</v>
      </c>
      <c r="E233" t="s">
        <v>12</v>
      </c>
      <c r="F233" t="s">
        <v>13</v>
      </c>
      <c r="G233" s="2" t="s">
        <v>19</v>
      </c>
      <c r="H233" t="s">
        <v>21</v>
      </c>
      <c r="I233" t="s">
        <v>16</v>
      </c>
      <c r="J233" t="s">
        <v>17</v>
      </c>
      <c r="K233" t="s">
        <v>18</v>
      </c>
      <c r="L233">
        <v>62340301</v>
      </c>
      <c r="M233">
        <v>675089583.37800002</v>
      </c>
      <c r="N233" s="4">
        <f>M233/L233</f>
        <v>10.829103686522142</v>
      </c>
    </row>
    <row r="234" spans="1:14" x14ac:dyDescent="0.2">
      <c r="A234" t="s">
        <v>10</v>
      </c>
      <c r="B234">
        <v>20230501</v>
      </c>
      <c r="C234">
        <v>20230701</v>
      </c>
      <c r="D234" t="s">
        <v>11</v>
      </c>
      <c r="E234" t="s">
        <v>12</v>
      </c>
      <c r="F234" t="s">
        <v>13</v>
      </c>
      <c r="G234" s="2" t="s">
        <v>19</v>
      </c>
      <c r="H234" t="s">
        <v>21</v>
      </c>
      <c r="I234" t="s">
        <v>16</v>
      </c>
      <c r="J234" t="s">
        <v>17</v>
      </c>
      <c r="K234" t="s">
        <v>18</v>
      </c>
      <c r="L234">
        <v>61285046</v>
      </c>
      <c r="M234">
        <v>626352669.74600005</v>
      </c>
      <c r="N234" s="4">
        <f>M234/L234</f>
        <v>10.220318179185181</v>
      </c>
    </row>
    <row r="235" spans="1:14" x14ac:dyDescent="0.2">
      <c r="A235" t="s">
        <v>10</v>
      </c>
      <c r="B235">
        <v>20230601</v>
      </c>
      <c r="C235">
        <v>20230801</v>
      </c>
      <c r="D235" t="s">
        <v>11</v>
      </c>
      <c r="E235" t="s">
        <v>12</v>
      </c>
      <c r="F235" t="s">
        <v>13</v>
      </c>
      <c r="G235" s="2" t="s">
        <v>19</v>
      </c>
      <c r="H235" t="s">
        <v>21</v>
      </c>
      <c r="I235" t="s">
        <v>16</v>
      </c>
      <c r="J235" t="s">
        <v>17</v>
      </c>
      <c r="K235" t="s">
        <v>18</v>
      </c>
      <c r="L235">
        <v>77706108</v>
      </c>
      <c r="M235">
        <v>722113019.53900003</v>
      </c>
      <c r="N235" s="4">
        <f>M235/L235</f>
        <v>9.2928733419385772</v>
      </c>
    </row>
    <row r="236" spans="1:14" x14ac:dyDescent="0.2">
      <c r="A236" t="s">
        <v>10</v>
      </c>
      <c r="B236">
        <v>20230701</v>
      </c>
      <c r="C236">
        <v>20230901</v>
      </c>
      <c r="D236" t="s">
        <v>11</v>
      </c>
      <c r="E236" t="s">
        <v>12</v>
      </c>
      <c r="F236" t="s">
        <v>13</v>
      </c>
      <c r="G236" s="2" t="s">
        <v>19</v>
      </c>
      <c r="H236" t="s">
        <v>21</v>
      </c>
      <c r="I236" t="s">
        <v>16</v>
      </c>
      <c r="J236" t="s">
        <v>17</v>
      </c>
      <c r="K236" t="s">
        <v>18</v>
      </c>
      <c r="L236">
        <v>78765435</v>
      </c>
      <c r="M236">
        <v>709118412.08399999</v>
      </c>
      <c r="N236" s="4">
        <f>M236/L236</f>
        <v>9.0029136776049032</v>
      </c>
    </row>
    <row r="237" spans="1:14" x14ac:dyDescent="0.2">
      <c r="A237" t="s">
        <v>10</v>
      </c>
      <c r="B237">
        <v>20230801</v>
      </c>
      <c r="C237">
        <v>20231001</v>
      </c>
      <c r="D237" t="s">
        <v>11</v>
      </c>
      <c r="E237" t="s">
        <v>12</v>
      </c>
      <c r="F237" t="s">
        <v>13</v>
      </c>
      <c r="G237" s="2" t="s">
        <v>19</v>
      </c>
      <c r="H237" t="s">
        <v>21</v>
      </c>
      <c r="I237" t="s">
        <v>16</v>
      </c>
      <c r="J237" t="s">
        <v>17</v>
      </c>
      <c r="K237" t="s">
        <v>18</v>
      </c>
      <c r="L237">
        <v>101967812</v>
      </c>
      <c r="M237">
        <v>765495124.55700004</v>
      </c>
      <c r="N237" s="4">
        <f>M237/L237</f>
        <v>7.5072232064467563</v>
      </c>
    </row>
    <row r="238" spans="1:14" x14ac:dyDescent="0.2">
      <c r="A238" t="s">
        <v>10</v>
      </c>
      <c r="B238">
        <v>20230901</v>
      </c>
      <c r="C238">
        <v>20231101</v>
      </c>
      <c r="D238" t="s">
        <v>11</v>
      </c>
      <c r="E238" t="s">
        <v>12</v>
      </c>
      <c r="F238" t="s">
        <v>13</v>
      </c>
      <c r="G238" s="2" t="s">
        <v>19</v>
      </c>
      <c r="H238" t="s">
        <v>21</v>
      </c>
      <c r="I238" t="s">
        <v>16</v>
      </c>
      <c r="J238" t="s">
        <v>17</v>
      </c>
      <c r="K238" t="s">
        <v>18</v>
      </c>
      <c r="L238">
        <v>106873429</v>
      </c>
      <c r="M238">
        <v>773550204.68700004</v>
      </c>
      <c r="N238" s="4">
        <f>M238/L238</f>
        <v>7.2380030464541383</v>
      </c>
    </row>
    <row r="239" spans="1:14" x14ac:dyDescent="0.2">
      <c r="A239" t="s">
        <v>10</v>
      </c>
      <c r="B239">
        <v>20231001</v>
      </c>
      <c r="C239">
        <v>20231201</v>
      </c>
      <c r="D239" t="s">
        <v>11</v>
      </c>
      <c r="E239" t="s">
        <v>12</v>
      </c>
      <c r="F239" t="s">
        <v>13</v>
      </c>
      <c r="G239" s="2" t="s">
        <v>19</v>
      </c>
      <c r="H239" t="s">
        <v>21</v>
      </c>
      <c r="I239" t="s">
        <v>16</v>
      </c>
      <c r="J239" t="s">
        <v>17</v>
      </c>
      <c r="K239" t="s">
        <v>18</v>
      </c>
      <c r="L239">
        <v>109155443</v>
      </c>
      <c r="M239">
        <v>823887169.005</v>
      </c>
      <c r="N239" s="4">
        <f>M239/L239</f>
        <v>7.5478340462142599</v>
      </c>
    </row>
    <row r="240" spans="1:14" x14ac:dyDescent="0.2">
      <c r="A240" t="s">
        <v>10</v>
      </c>
      <c r="B240">
        <v>20231101</v>
      </c>
      <c r="C240">
        <v>20240101</v>
      </c>
      <c r="D240" t="s">
        <v>11</v>
      </c>
      <c r="E240" t="s">
        <v>12</v>
      </c>
      <c r="F240" t="s">
        <v>13</v>
      </c>
      <c r="G240" s="2" t="s">
        <v>19</v>
      </c>
      <c r="H240" t="s">
        <v>21</v>
      </c>
      <c r="I240" t="s">
        <v>16</v>
      </c>
      <c r="J240" t="s">
        <v>17</v>
      </c>
      <c r="K240" t="s">
        <v>18</v>
      </c>
      <c r="L240">
        <v>103823269</v>
      </c>
      <c r="M240">
        <v>783937909.86800003</v>
      </c>
      <c r="N240" s="4">
        <f>M240/L240</f>
        <v>7.5506956910401275</v>
      </c>
    </row>
    <row r="241" spans="1:14" x14ac:dyDescent="0.2">
      <c r="A241" t="s">
        <v>10</v>
      </c>
      <c r="B241">
        <v>20231201</v>
      </c>
      <c r="C241">
        <v>20240201</v>
      </c>
      <c r="D241" t="s">
        <v>11</v>
      </c>
      <c r="E241" t="s">
        <v>12</v>
      </c>
      <c r="F241" t="s">
        <v>13</v>
      </c>
      <c r="G241" s="2" t="s">
        <v>19</v>
      </c>
      <c r="H241" t="s">
        <v>21</v>
      </c>
      <c r="I241" t="s">
        <v>16</v>
      </c>
      <c r="J241" t="s">
        <v>17</v>
      </c>
      <c r="K241" t="s">
        <v>18</v>
      </c>
      <c r="L241">
        <v>83340091</v>
      </c>
      <c r="M241">
        <v>706019084.61199999</v>
      </c>
      <c r="N241" s="4">
        <f>M241/L241</f>
        <v>8.4715420410568072</v>
      </c>
    </row>
    <row r="242" spans="1:14" x14ac:dyDescent="0.2">
      <c r="A242" t="s">
        <v>10</v>
      </c>
      <c r="B242">
        <v>20240101</v>
      </c>
      <c r="C242">
        <v>20240301</v>
      </c>
      <c r="D242" t="s">
        <v>11</v>
      </c>
      <c r="E242" t="s">
        <v>12</v>
      </c>
      <c r="F242" t="s">
        <v>13</v>
      </c>
      <c r="G242" s="2" t="s">
        <v>19</v>
      </c>
      <c r="H242" t="s">
        <v>21</v>
      </c>
      <c r="I242" t="s">
        <v>16</v>
      </c>
      <c r="J242" t="s">
        <v>17</v>
      </c>
      <c r="K242" t="s">
        <v>18</v>
      </c>
      <c r="L242">
        <v>63842151</v>
      </c>
      <c r="M242">
        <v>653515167.05700004</v>
      </c>
      <c r="N242" s="4">
        <f>M242/L242</f>
        <v>10.23642149928501</v>
      </c>
    </row>
    <row r="243" spans="1:14" x14ac:dyDescent="0.2">
      <c r="A243" t="s">
        <v>10</v>
      </c>
      <c r="B243">
        <v>20240201</v>
      </c>
      <c r="C243">
        <v>20240401</v>
      </c>
      <c r="D243" t="s">
        <v>11</v>
      </c>
      <c r="E243" t="s">
        <v>12</v>
      </c>
      <c r="F243" t="s">
        <v>13</v>
      </c>
      <c r="G243" s="2" t="s">
        <v>19</v>
      </c>
      <c r="H243" t="s">
        <v>21</v>
      </c>
      <c r="I243" t="s">
        <v>16</v>
      </c>
      <c r="J243" t="s">
        <v>17</v>
      </c>
      <c r="K243" t="s">
        <v>18</v>
      </c>
      <c r="L243">
        <v>55232717</v>
      </c>
      <c r="M243">
        <v>569730584.255</v>
      </c>
      <c r="N243" s="4">
        <f>M243/L243</f>
        <v>10.3150924886603</v>
      </c>
    </row>
    <row r="244" spans="1:14" x14ac:dyDescent="0.2">
      <c r="A244" t="s">
        <v>10</v>
      </c>
      <c r="B244">
        <v>20240301</v>
      </c>
      <c r="C244">
        <v>20240501</v>
      </c>
      <c r="D244" t="s">
        <v>11</v>
      </c>
      <c r="E244" t="s">
        <v>12</v>
      </c>
      <c r="F244" t="s">
        <v>13</v>
      </c>
      <c r="G244" s="2" t="s">
        <v>19</v>
      </c>
      <c r="H244" t="s">
        <v>21</v>
      </c>
      <c r="I244" t="s">
        <v>16</v>
      </c>
      <c r="J244" t="s">
        <v>17</v>
      </c>
      <c r="K244" t="s">
        <v>18</v>
      </c>
      <c r="L244">
        <v>56802940</v>
      </c>
      <c r="M244">
        <v>579442191.29999995</v>
      </c>
      <c r="N244" s="4">
        <f>M244/L244</f>
        <v>10.200919024613865</v>
      </c>
    </row>
    <row r="245" spans="1:14" x14ac:dyDescent="0.2">
      <c r="A245" t="s">
        <v>10</v>
      </c>
      <c r="B245">
        <v>20240401</v>
      </c>
      <c r="C245">
        <v>20240601</v>
      </c>
      <c r="D245" t="s">
        <v>11</v>
      </c>
      <c r="E245" t="s">
        <v>12</v>
      </c>
      <c r="F245" t="s">
        <v>13</v>
      </c>
      <c r="G245" s="2" t="s">
        <v>19</v>
      </c>
      <c r="H245" t="s">
        <v>21</v>
      </c>
      <c r="I245" t="s">
        <v>16</v>
      </c>
      <c r="J245" t="s">
        <v>17</v>
      </c>
      <c r="K245" t="s">
        <v>18</v>
      </c>
      <c r="L245">
        <v>52506661</v>
      </c>
      <c r="M245">
        <v>575079599.02400005</v>
      </c>
      <c r="N245" s="4">
        <f>M245/L245</f>
        <v>10.952507511837403</v>
      </c>
    </row>
    <row r="246" spans="1:14" x14ac:dyDescent="0.2">
      <c r="A246" t="s">
        <v>10</v>
      </c>
      <c r="B246">
        <v>20240501</v>
      </c>
      <c r="C246">
        <v>20240701</v>
      </c>
      <c r="D246" t="s">
        <v>11</v>
      </c>
      <c r="E246" t="s">
        <v>12</v>
      </c>
      <c r="F246" t="s">
        <v>13</v>
      </c>
      <c r="G246" s="2" t="s">
        <v>19</v>
      </c>
      <c r="H246" t="s">
        <v>21</v>
      </c>
      <c r="I246" t="s">
        <v>16</v>
      </c>
      <c r="J246" t="s">
        <v>17</v>
      </c>
      <c r="K246" t="s">
        <v>18</v>
      </c>
      <c r="L246">
        <v>56008511</v>
      </c>
      <c r="M246">
        <v>609525795.39499998</v>
      </c>
      <c r="N246" s="4">
        <f>M246/L246</f>
        <v>10.882735222062946</v>
      </c>
    </row>
    <row r="247" spans="1:14" x14ac:dyDescent="0.2">
      <c r="A247" t="s">
        <v>10</v>
      </c>
      <c r="B247">
        <v>20240601</v>
      </c>
      <c r="C247">
        <v>20240801</v>
      </c>
      <c r="D247" t="s">
        <v>11</v>
      </c>
      <c r="E247" t="s">
        <v>12</v>
      </c>
      <c r="F247" t="s">
        <v>13</v>
      </c>
      <c r="G247" s="2" t="s">
        <v>19</v>
      </c>
      <c r="H247" t="s">
        <v>21</v>
      </c>
      <c r="I247" t="s">
        <v>16</v>
      </c>
      <c r="J247" t="s">
        <v>17</v>
      </c>
      <c r="K247" t="s">
        <v>18</v>
      </c>
      <c r="L247">
        <v>70100694</v>
      </c>
      <c r="M247">
        <v>565980761.13399994</v>
      </c>
      <c r="N247" s="4">
        <f>M247/L247</f>
        <v>8.0738253623280816</v>
      </c>
    </row>
    <row r="248" spans="1:14" x14ac:dyDescent="0.2">
      <c r="A248" t="s">
        <v>10</v>
      </c>
      <c r="B248">
        <v>20240701</v>
      </c>
      <c r="C248">
        <v>20240901</v>
      </c>
      <c r="D248" t="s">
        <v>11</v>
      </c>
      <c r="E248" t="s">
        <v>12</v>
      </c>
      <c r="F248" t="s">
        <v>13</v>
      </c>
      <c r="G248" s="2" t="s">
        <v>19</v>
      </c>
      <c r="H248" t="s">
        <v>21</v>
      </c>
      <c r="I248" t="s">
        <v>16</v>
      </c>
      <c r="J248" t="s">
        <v>17</v>
      </c>
      <c r="K248" t="s">
        <v>18</v>
      </c>
      <c r="L248">
        <v>87173834</v>
      </c>
      <c r="M248">
        <v>648477406.00899994</v>
      </c>
      <c r="N248" s="4">
        <f>M248/L248</f>
        <v>7.4388996818586639</v>
      </c>
    </row>
    <row r="249" spans="1:14" x14ac:dyDescent="0.2">
      <c r="A249" t="s">
        <v>10</v>
      </c>
      <c r="B249">
        <v>20240801</v>
      </c>
      <c r="C249">
        <v>20241001</v>
      </c>
      <c r="D249" t="s">
        <v>11</v>
      </c>
      <c r="E249" t="s">
        <v>12</v>
      </c>
      <c r="F249" t="s">
        <v>13</v>
      </c>
      <c r="G249" s="2" t="s">
        <v>19</v>
      </c>
      <c r="H249" t="s">
        <v>21</v>
      </c>
      <c r="I249" t="s">
        <v>16</v>
      </c>
      <c r="J249" t="s">
        <v>17</v>
      </c>
      <c r="K249" t="s">
        <v>18</v>
      </c>
      <c r="L249">
        <v>102657437</v>
      </c>
      <c r="M249">
        <v>748707564.34000003</v>
      </c>
      <c r="N249" s="4">
        <f>M249/L249</f>
        <v>7.2932618056692773</v>
      </c>
    </row>
    <row r="250" spans="1:14" x14ac:dyDescent="0.2">
      <c r="A250" t="s">
        <v>10</v>
      </c>
      <c r="B250">
        <v>20240901</v>
      </c>
      <c r="C250">
        <v>20241101</v>
      </c>
      <c r="D250" t="s">
        <v>11</v>
      </c>
      <c r="E250" t="s">
        <v>12</v>
      </c>
      <c r="F250" t="s">
        <v>13</v>
      </c>
      <c r="G250" s="2" t="s">
        <v>19</v>
      </c>
      <c r="H250" t="s">
        <v>21</v>
      </c>
      <c r="I250" t="s">
        <v>16</v>
      </c>
      <c r="J250" t="s">
        <v>17</v>
      </c>
      <c r="K250" t="s">
        <v>18</v>
      </c>
      <c r="L250">
        <v>115861461</v>
      </c>
      <c r="M250">
        <v>804304955.89499998</v>
      </c>
      <c r="N250" s="4">
        <f>M250/L250</f>
        <v>6.9419542007587838</v>
      </c>
    </row>
    <row r="251" spans="1:14" x14ac:dyDescent="0.2">
      <c r="A251" t="s">
        <v>10</v>
      </c>
      <c r="B251">
        <v>20241001</v>
      </c>
      <c r="C251">
        <v>20241201</v>
      </c>
      <c r="D251" t="s">
        <v>11</v>
      </c>
      <c r="E251" t="s">
        <v>12</v>
      </c>
      <c r="F251" t="s">
        <v>13</v>
      </c>
      <c r="G251" s="2" t="s">
        <v>19</v>
      </c>
      <c r="H251" t="s">
        <v>21</v>
      </c>
      <c r="I251" t="s">
        <v>16</v>
      </c>
      <c r="J251" t="s">
        <v>17</v>
      </c>
      <c r="K251" t="s">
        <v>18</v>
      </c>
      <c r="L251">
        <v>114967583</v>
      </c>
      <c r="M251">
        <v>791978270.46599996</v>
      </c>
      <c r="N251" s="4">
        <f>M251/L251</f>
        <v>6.8887094065985535</v>
      </c>
    </row>
    <row r="252" spans="1:14" x14ac:dyDescent="0.2">
      <c r="A252" t="s">
        <v>10</v>
      </c>
      <c r="B252">
        <v>20241101</v>
      </c>
      <c r="C252">
        <v>20250101</v>
      </c>
      <c r="D252" t="s">
        <v>11</v>
      </c>
      <c r="E252" t="s">
        <v>12</v>
      </c>
      <c r="F252" t="s">
        <v>13</v>
      </c>
      <c r="G252" s="2" t="s">
        <v>19</v>
      </c>
      <c r="H252" t="s">
        <v>21</v>
      </c>
      <c r="I252" t="s">
        <v>16</v>
      </c>
      <c r="J252" t="s">
        <v>17</v>
      </c>
      <c r="K252" t="s">
        <v>18</v>
      </c>
      <c r="L252">
        <v>102687238</v>
      </c>
      <c r="M252">
        <v>772659031.773</v>
      </c>
      <c r="N252" s="4">
        <f>M252/L252</f>
        <v>7.5243919967250461</v>
      </c>
    </row>
    <row r="253" spans="1:14" x14ac:dyDescent="0.2">
      <c r="A253" t="s">
        <v>10</v>
      </c>
      <c r="B253">
        <v>20241201</v>
      </c>
      <c r="C253">
        <v>20250201</v>
      </c>
      <c r="D253" t="s">
        <v>11</v>
      </c>
      <c r="E253" t="s">
        <v>12</v>
      </c>
      <c r="F253" t="s">
        <v>13</v>
      </c>
      <c r="G253" s="2" t="s">
        <v>19</v>
      </c>
      <c r="H253" t="s">
        <v>21</v>
      </c>
      <c r="I253" t="s">
        <v>16</v>
      </c>
      <c r="J253" t="s">
        <v>17</v>
      </c>
      <c r="K253" t="s">
        <v>18</v>
      </c>
      <c r="L253">
        <v>87187832</v>
      </c>
      <c r="M253">
        <v>730022653.62</v>
      </c>
      <c r="N253" s="4">
        <f>M253/L253</f>
        <v>8.3729877997195761</v>
      </c>
    </row>
    <row r="254" spans="1:14" x14ac:dyDescent="0.2">
      <c r="A254" t="s">
        <v>10</v>
      </c>
      <c r="B254">
        <v>20250101</v>
      </c>
      <c r="C254">
        <v>20250301</v>
      </c>
      <c r="D254" t="s">
        <v>11</v>
      </c>
      <c r="E254" t="s">
        <v>12</v>
      </c>
      <c r="F254" t="s">
        <v>13</v>
      </c>
      <c r="G254" s="2" t="s">
        <v>19</v>
      </c>
      <c r="H254" t="s">
        <v>21</v>
      </c>
      <c r="I254" t="s">
        <v>16</v>
      </c>
      <c r="J254" t="s">
        <v>17</v>
      </c>
      <c r="K254" t="s">
        <v>18</v>
      </c>
      <c r="L254">
        <v>69858865</v>
      </c>
      <c r="M254">
        <v>656162665.52199996</v>
      </c>
      <c r="N254" s="4">
        <f>M254/L254</f>
        <v>9.3926900404408222</v>
      </c>
    </row>
    <row r="255" spans="1:14" x14ac:dyDescent="0.2">
      <c r="A255" t="s">
        <v>10</v>
      </c>
      <c r="B255">
        <v>20250201</v>
      </c>
      <c r="C255">
        <v>20250401</v>
      </c>
      <c r="D255" t="s">
        <v>11</v>
      </c>
      <c r="E255" t="s">
        <v>12</v>
      </c>
      <c r="F255" t="s">
        <v>13</v>
      </c>
      <c r="G255" s="2" t="s">
        <v>19</v>
      </c>
      <c r="H255" t="s">
        <v>21</v>
      </c>
      <c r="I255" t="s">
        <v>16</v>
      </c>
      <c r="J255" t="s">
        <v>17</v>
      </c>
      <c r="K255" t="s">
        <v>18</v>
      </c>
      <c r="L255">
        <v>63876853</v>
      </c>
      <c r="M255">
        <v>529371053.87599999</v>
      </c>
      <c r="N255" s="4">
        <f>M255/L255</f>
        <v>8.2873690392355428</v>
      </c>
    </row>
    <row r="256" spans="1:14" x14ac:dyDescent="0.2">
      <c r="A256" t="s">
        <v>10</v>
      </c>
      <c r="B256">
        <v>20250301</v>
      </c>
      <c r="C256">
        <v>20250501</v>
      </c>
      <c r="D256" t="s">
        <v>11</v>
      </c>
      <c r="E256" t="s">
        <v>12</v>
      </c>
      <c r="F256" t="s">
        <v>13</v>
      </c>
      <c r="G256" s="2" t="s">
        <v>19</v>
      </c>
      <c r="H256" t="s">
        <v>21</v>
      </c>
      <c r="I256" t="s">
        <v>16</v>
      </c>
      <c r="J256" t="s">
        <v>17</v>
      </c>
      <c r="K256" t="s">
        <v>18</v>
      </c>
      <c r="L256">
        <v>75745716</v>
      </c>
      <c r="M256">
        <v>616318296.97000003</v>
      </c>
      <c r="N256" s="4">
        <f>M256/L256</f>
        <v>8.1366753067592636</v>
      </c>
    </row>
    <row r="257" spans="1:14" x14ac:dyDescent="0.2">
      <c r="A257" t="s">
        <v>10</v>
      </c>
      <c r="B257">
        <v>20250401</v>
      </c>
      <c r="C257">
        <v>20250601</v>
      </c>
      <c r="D257" t="s">
        <v>11</v>
      </c>
      <c r="E257" t="s">
        <v>12</v>
      </c>
      <c r="F257" t="s">
        <v>13</v>
      </c>
      <c r="G257" s="2" t="s">
        <v>19</v>
      </c>
      <c r="H257" t="s">
        <v>21</v>
      </c>
      <c r="I257" t="s">
        <v>16</v>
      </c>
      <c r="J257" t="s">
        <v>17</v>
      </c>
      <c r="K257" t="s">
        <v>18</v>
      </c>
      <c r="L257">
        <v>77857150</v>
      </c>
      <c r="M257">
        <v>612343289.66299999</v>
      </c>
      <c r="N257" s="4">
        <f>M257/L257</f>
        <v>7.8649589621890863</v>
      </c>
    </row>
    <row r="258" spans="1:14" x14ac:dyDescent="0.2">
      <c r="A258" t="s">
        <v>10</v>
      </c>
      <c r="B258">
        <v>20250501</v>
      </c>
      <c r="C258">
        <v>20250701</v>
      </c>
      <c r="D258" t="s">
        <v>11</v>
      </c>
      <c r="E258" t="s">
        <v>12</v>
      </c>
      <c r="F258" t="s">
        <v>13</v>
      </c>
      <c r="G258" s="2" t="s">
        <v>19</v>
      </c>
      <c r="H258" t="s">
        <v>21</v>
      </c>
      <c r="I258" t="s">
        <v>16</v>
      </c>
      <c r="J258" t="s">
        <v>17</v>
      </c>
      <c r="K258" t="s">
        <v>18</v>
      </c>
      <c r="L258">
        <v>84344621</v>
      </c>
      <c r="M258">
        <v>610482360.86300004</v>
      </c>
      <c r="N258" s="4">
        <f>M258/L258</f>
        <v>7.2379525051514548</v>
      </c>
    </row>
    <row r="259" spans="1:14" x14ac:dyDescent="0.2">
      <c r="A259" t="s">
        <v>10</v>
      </c>
      <c r="B259">
        <v>20250601</v>
      </c>
      <c r="C259">
        <v>20250801</v>
      </c>
      <c r="D259" t="s">
        <v>11</v>
      </c>
      <c r="E259" t="s">
        <v>12</v>
      </c>
      <c r="F259" t="s">
        <v>13</v>
      </c>
      <c r="G259" s="2" t="s">
        <v>19</v>
      </c>
      <c r="H259" t="s">
        <v>21</v>
      </c>
      <c r="I259" t="s">
        <v>16</v>
      </c>
      <c r="J259" t="s">
        <v>17</v>
      </c>
      <c r="K259" t="s">
        <v>18</v>
      </c>
      <c r="L259">
        <v>84372030</v>
      </c>
      <c r="M259">
        <v>627034059.52100003</v>
      </c>
      <c r="N259" s="4">
        <f>M259/L259</f>
        <v>7.4317763780366555</v>
      </c>
    </row>
    <row r="260" spans="1:14" x14ac:dyDescent="0.2">
      <c r="A260" t="s">
        <v>10</v>
      </c>
      <c r="B260">
        <v>20250701</v>
      </c>
      <c r="C260">
        <v>20250901</v>
      </c>
      <c r="D260" t="s">
        <v>11</v>
      </c>
      <c r="E260" t="s">
        <v>12</v>
      </c>
      <c r="F260" t="s">
        <v>13</v>
      </c>
      <c r="G260" s="2" t="s">
        <v>19</v>
      </c>
      <c r="H260" t="s">
        <v>21</v>
      </c>
      <c r="I260" t="s">
        <v>16</v>
      </c>
      <c r="J260" t="s">
        <v>17</v>
      </c>
      <c r="K260" t="s">
        <v>18</v>
      </c>
      <c r="L260">
        <v>110146291</v>
      </c>
      <c r="M260">
        <v>721114872.28900003</v>
      </c>
      <c r="N260" s="4">
        <f>M260/L260</f>
        <v>6.5468829294397217</v>
      </c>
    </row>
    <row r="261" spans="1:14" x14ac:dyDescent="0.2">
      <c r="A261" t="s">
        <v>10</v>
      </c>
      <c r="B261">
        <v>20250801</v>
      </c>
      <c r="C261">
        <v>20251001</v>
      </c>
      <c r="D261" t="s">
        <v>11</v>
      </c>
      <c r="E261" t="s">
        <v>12</v>
      </c>
      <c r="F261" t="s">
        <v>13</v>
      </c>
      <c r="G261" s="2" t="s">
        <v>19</v>
      </c>
      <c r="H261" t="s">
        <v>21</v>
      </c>
      <c r="I261" t="s">
        <v>16</v>
      </c>
      <c r="J261" t="s">
        <v>17</v>
      </c>
      <c r="K261" t="s">
        <v>18</v>
      </c>
      <c r="L261">
        <v>117482512</v>
      </c>
      <c r="M261">
        <v>736890195.398</v>
      </c>
      <c r="N261" s="4">
        <f>M261/L261</f>
        <v>6.272339455918341</v>
      </c>
    </row>
    <row r="262" spans="1:14" x14ac:dyDescent="0.2">
      <c r="A262" t="s">
        <v>10</v>
      </c>
      <c r="B262">
        <v>20250901</v>
      </c>
      <c r="C262">
        <v>20251101</v>
      </c>
      <c r="D262" t="s">
        <v>11</v>
      </c>
      <c r="E262" t="s">
        <v>12</v>
      </c>
      <c r="F262" t="s">
        <v>13</v>
      </c>
      <c r="G262" s="2" t="s">
        <v>19</v>
      </c>
      <c r="H262" t="s">
        <v>21</v>
      </c>
      <c r="I262" t="s">
        <v>16</v>
      </c>
      <c r="J262" t="s">
        <v>17</v>
      </c>
      <c r="K262" t="s">
        <v>18</v>
      </c>
      <c r="L262">
        <v>105850136</v>
      </c>
      <c r="M262">
        <v>805294154.94200003</v>
      </c>
      <c r="N262" s="4">
        <f>M262/L262</f>
        <v>7.6078707630758267</v>
      </c>
    </row>
    <row r="263" spans="1:14" x14ac:dyDescent="0.2">
      <c r="A263" t="s">
        <v>10</v>
      </c>
      <c r="B263">
        <v>20251001</v>
      </c>
      <c r="C263">
        <v>20251201</v>
      </c>
      <c r="D263" t="s">
        <v>11</v>
      </c>
      <c r="E263" t="s">
        <v>12</v>
      </c>
      <c r="F263" t="s">
        <v>13</v>
      </c>
      <c r="G263" s="2" t="s">
        <v>19</v>
      </c>
      <c r="H263" t="s">
        <v>21</v>
      </c>
      <c r="I263" t="s">
        <v>16</v>
      </c>
      <c r="J263" t="s">
        <v>17</v>
      </c>
      <c r="K263" t="s">
        <v>18</v>
      </c>
      <c r="L263">
        <v>116115870</v>
      </c>
      <c r="M263">
        <v>889943834.66700006</v>
      </c>
      <c r="N263" s="4">
        <f>M263/L263</f>
        <v>7.6642739245462321</v>
      </c>
    </row>
    <row r="264" spans="1:14" x14ac:dyDescent="0.2">
      <c r="A264" t="s">
        <v>10</v>
      </c>
      <c r="B264">
        <v>20251101</v>
      </c>
      <c r="C264">
        <v>20260101</v>
      </c>
      <c r="D264" t="s">
        <v>11</v>
      </c>
      <c r="E264" t="s">
        <v>12</v>
      </c>
      <c r="F264" t="s">
        <v>13</v>
      </c>
      <c r="G264" s="2" t="s">
        <v>19</v>
      </c>
      <c r="H264" t="s">
        <v>21</v>
      </c>
      <c r="I264" t="s">
        <v>16</v>
      </c>
      <c r="J264" t="s">
        <v>17</v>
      </c>
      <c r="K264" t="s">
        <v>18</v>
      </c>
      <c r="L264">
        <v>98525558</v>
      </c>
      <c r="M264">
        <v>787229098.75199997</v>
      </c>
      <c r="N264" s="4">
        <f>M264/L264</f>
        <v>7.9901003834152347</v>
      </c>
    </row>
    <row r="265" spans="1:14" x14ac:dyDescent="0.2">
      <c r="A265" t="s">
        <v>10</v>
      </c>
      <c r="B265">
        <v>20251201</v>
      </c>
      <c r="C265">
        <v>20260201</v>
      </c>
      <c r="D265" t="s">
        <v>11</v>
      </c>
      <c r="E265" t="s">
        <v>12</v>
      </c>
      <c r="F265" t="s">
        <v>13</v>
      </c>
      <c r="G265" s="2" t="s">
        <v>19</v>
      </c>
      <c r="H265" t="s">
        <v>21</v>
      </c>
      <c r="I265" t="s">
        <v>16</v>
      </c>
      <c r="J265" t="s">
        <v>17</v>
      </c>
      <c r="K265" t="s">
        <v>18</v>
      </c>
      <c r="L265">
        <v>93372057</v>
      </c>
      <c r="M265">
        <v>863950829.01600003</v>
      </c>
      <c r="N265" s="4">
        <f>M265/L265</f>
        <v>9.2527770810061511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(Student) Askildsen, Fillip</cp:lastModifiedBy>
  <dcterms:created xsi:type="dcterms:W3CDTF">2026-03-05T08:51:32Z</dcterms:created>
  <dcterms:modified xsi:type="dcterms:W3CDTF">2026-03-07T12:35:13Z</dcterms:modified>
</cp:coreProperties>
</file>